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29441e0a5d4c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完整新价格表" sheetId="1" r:id="R5b753891039a4aaf"/>
    <x:sheet xmlns:r="http://schemas.openxmlformats.org/officeDocument/2006/relationships" name="Pass测算" sheetId="2" r:id="R43c39220fe4d43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.00;[Red](#,##0.00);0.00"/>
    <x:numFmt numFmtId="201" formatCode="0.00"/>
    <x:numFmt numFmtId="202" formatCode="#,##0.00"/>
    <x:numFmt numFmtId="203" formatCode="#,##0"/>
    <x:numFmt numFmtId="204" formatCode="#,##0.0000"/>
    <x:numFmt numFmtId="205" formatCode="#,##0.00000000"/>
  </x:numFmts>
  <x:fonts count="8">
    <x:font>
      <x:sz val="11"/>
      <x:name val="Carlito"/>
    </x:font>
    <x:font>
      <x:sz val="12"/>
      <x:color rgb="FF111111"/>
      <x:name val="Arial"/>
    </x:font>
    <x:font>
      <x:b/>
      <x:sz val="12"/>
      <x:color rgb="FF111111"/>
      <x:name val="Arial"/>
    </x:font>
    <x:font>
      <x:b/>
      <x:sz val="12"/>
      <x:color rgb="FF707070"/>
      <x:name val="Arial"/>
    </x:font>
    <x:font>
      <x:sz val="12"/>
      <x:color rgb="FF707070"/>
      <x:name val="Arial"/>
    </x:font>
    <x:font>
      <x:sz val="11"/>
      <x:color rgb="FF111111"/>
      <x:name val="Arial"/>
    </x:font>
    <x:font>
      <x:b/>
      <x:sz val="11"/>
      <x:color rgb="FF111111"/>
      <x:name val="Arial"/>
    </x:font>
    <x:font>
      <x:sz val="11"/>
      <x:color rgb="FF555555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8F8F8"/>
      </x:patternFill>
    </x:fill>
    <x:fill>
      <x:patternFill patternType="solid">
        <x:fgColor rgb="FFF4F8F4"/>
      </x:patternFill>
    </x:fill>
  </x:fills>
  <x:borders count="5">
    <x:border>
      <x:left/>
      <x:right/>
      <x:top/>
      <x:bottom/>
      <x:diagonal/>
    </x:border>
    <x:border>
      <x:left style="thin">
        <x:color rgb="FFE3E3E3"/>
      </x:left>
      <x:right style="thin">
        <x:color rgb="FFE3E3E3"/>
      </x:right>
      <x:top style="thin">
        <x:color rgb="FFE3E3E3"/>
      </x:top>
      <x:bottom style="thin">
        <x:color rgb="FFE3E3E3"/>
      </x:bottom>
      <x:diagonal/>
    </x:border>
    <x:border>
      <x:left/>
      <x:right/>
      <x:top/>
      <x:bottom style="thin">
        <x:color rgb="FFE5E7EB"/>
      </x:bottom>
      <x:diagonal/>
    </x:border>
    <x:border>
      <x:left/>
      <x:right/>
      <x:top style="thin">
        <x:color rgb="FFE5E7EB"/>
      </x:top>
      <x:bottom style="thin">
        <x:color rgb="FFE5E7EB"/>
      </x:bottom>
      <x:diagonal/>
    </x:border>
    <x:border>
      <x:left/>
      <x:right/>
      <x:top style="thin">
        <x:color rgb="FFE5E7EB"/>
      </x:top>
      <x:bottom/>
      <x:diagonal/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horizontal="center" vertical="center"/>
    </x:xf>
    <x:xf numFmtId="200" fontId="1" fillId="2" borderId="1" xfId="0" applyNumberFormat="1" applyFont="1" applyFill="1" applyBorder="1" applyAlignment="1">
      <x:alignment vertical="center"/>
    </x:xf>
    <x:xf numFmtId="201" fontId="1" fillId="2" borderId="1" xfId="0" applyNumberFormat="1" applyFont="1" applyFill="1" applyBorder="1" applyAlignment="1">
      <x:alignment vertical="center"/>
    </x:xf>
    <x:xf numFmtId="201" fontId="1" fillId="2" borderId="1" xfId="0" applyNumberFormat="1" applyFont="1" applyFill="1" applyBorder="1" applyAlignment="1">
      <x:alignment horizontal="right" vertical="center"/>
    </x:xf>
    <x:xf numFmtId="0" fontId="1" fillId="2" borderId="1" xfId="0" applyNumberFormat="1" applyFont="1" applyFill="1" applyBorder="1" applyAlignment="1">
      <x:alignment horizontal="right" vertical="center"/>
    </x:xf>
    <x:xf numFmtId="200" fontId="1" fillId="2" borderId="1" xfId="0" applyNumberFormat="1" applyFont="1" applyFill="1" applyBorder="1" applyAlignment="1">
      <x:alignment horizontal="right" vertical="center"/>
    </x:xf>
    <x:xf numFmtId="0" fontId="1" fillId="2" borderId="1" xfId="0" applyNumberFormat="1" applyFont="1" applyFill="1" applyBorder="1" applyAlignment="1">
      <x:alignment horizontal="left" vertical="center"/>
    </x:xf>
    <x:xf numFmtId="202" fontId="1" fillId="2" borderId="1" xfId="0" applyNumberFormat="1" applyFont="1" applyFill="1" applyBorder="1" applyAlignment="1">
      <x:alignment horizontal="right" vertical="center"/>
    </x:xf>
    <x:xf numFmtId="203" fontId="1" fillId="2" borderId="1" xfId="0" applyNumberFormat="1" applyFont="1" applyFill="1" applyBorder="1" applyAlignment="1">
      <x:alignment horizontal="right" vertical="center"/>
    </x:xf>
    <x:xf numFmtId="0" fontId="2" fillId="2" borderId="1" xfId="0" applyNumberFormat="1" applyFont="1" applyFill="1" applyBorder="1" applyAlignment="1">
      <x:alignment vertical="center"/>
    </x:xf>
    <x:xf numFmtId="201" fontId="2" fillId="2" borderId="1" xfId="0" applyNumberFormat="1" applyFont="1" applyFill="1" applyBorder="1" applyAlignment="1">
      <x:alignment horizontal="right" vertical="center"/>
    </x:xf>
    <x:xf numFmtId="0" fontId="2" fillId="2" borderId="1" xfId="0" applyNumberFormat="1" applyFont="1" applyFill="1" applyBorder="1" applyAlignment="1">
      <x:alignment horizontal="left" vertical="center"/>
    </x:xf>
    <x:xf numFmtId="203" fontId="2" fillId="2" borderId="1" xfId="0" applyNumberFormat="1" applyFont="1" applyFill="1" applyBorder="1" applyAlignment="1">
      <x:alignment horizontal="right" vertical="center"/>
    </x:xf>
    <x:xf numFmtId="202" fontId="2" fillId="2" borderId="1" xfId="0" applyNumberFormat="1" applyFont="1" applyFill="1" applyBorder="1" applyAlignment="1">
      <x:alignment horizontal="right" vertical="center"/>
    </x:xf>
    <x:xf numFmtId="200" fontId="2" fillId="2" borderId="1" xfId="0" applyNumberFormat="1" applyFont="1" applyFill="1" applyBorder="1" applyAlignment="1">
      <x:alignment horizontal="right" vertical="center"/>
    </x:xf>
    <x:xf numFmtId="0" fontId="2" fillId="4" borderId="1" xfId="0" applyNumberFormat="1" applyFont="1" applyFill="1" applyBorder="1" applyAlignment="1">
      <x:alignment horizontal="center" vertical="center"/>
    </x:xf>
    <x:xf numFmtId="200" fontId="1" fillId="4" borderId="1" xfId="0" applyNumberFormat="1" applyFont="1" applyFill="1" applyBorder="1" applyAlignment="1">
      <x:alignment horizontal="right" vertical="center"/>
    </x:xf>
    <x:xf numFmtId="203" fontId="1" fillId="4" borderId="1" xfId="0" applyNumberFormat="1" applyFont="1" applyFill="1" applyBorder="1" applyAlignment="1">
      <x:alignment horizontal="right" vertical="center"/>
    </x:xf>
    <x:xf numFmtId="203" fontId="2" fillId="4" borderId="1" xfId="0" applyNumberFormat="1" applyFont="1" applyFill="1" applyBorder="1" applyAlignment="1">
      <x:alignment horizontal="right" vertical="center"/>
    </x:xf>
    <x:xf numFmtId="200" fontId="2" fillId="4" borderId="1" xfId="0" applyNumberFormat="1" applyFont="1" applyFill="1" applyBorder="1" applyAlignment="1">
      <x:alignment horizontal="right" vertical="center"/>
    </x:xf>
    <x:xf numFmtId="0" fontId="3" fillId="3" borderId="1" xfId="0" applyNumberFormat="1" applyFont="1" applyFill="1" applyBorder="1" applyAlignment="1">
      <x:alignment horizontal="center" vertical="center"/>
    </x:xf>
    <x:xf numFmtId="200" fontId="4" fillId="2" borderId="1" xfId="0" applyNumberFormat="1" applyFont="1" applyFill="1" applyBorder="1" applyAlignment="1">
      <x:alignment horizontal="right" vertical="center"/>
    </x:xf>
    <x:xf numFmtId="203" fontId="4" fillId="2" borderId="1" xfId="0" applyNumberFormat="1" applyFont="1" applyFill="1" applyBorder="1" applyAlignment="1">
      <x:alignment horizontal="right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6" fillId="3" borderId="1" xfId="0" applyNumberFormat="1" applyFont="1" applyFill="1" applyBorder="1" applyAlignment="1">
      <x:alignment vertical="center"/>
    </x:xf>
    <x:xf numFmtId="0" fontId="6" fillId="3" borderId="1" xfId="0" applyNumberFormat="1" applyFont="1" applyFill="1" applyBorder="1" applyAlignment="1">
      <x:alignment horizontal="center"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4" fontId="5" fillId="0" borderId="2" xfId="0" applyNumberFormat="1" applyFont="1" applyFill="1" applyBorder="1" applyAlignment="1">
      <x:alignment horizontal="right" vertical="center"/>
    </x:xf>
    <x:xf numFmtId="204" fontId="5" fillId="0" borderId="3" xfId="0" applyNumberFormat="1" applyFont="1" applyFill="1" applyBorder="1" applyAlignment="1">
      <x:alignment horizontal="right" vertical="center"/>
    </x:xf>
    <x:xf numFmtId="204" fontId="5" fillId="0" borderId="4" xfId="0" applyNumberFormat="1" applyFont="1" applyFill="1" applyBorder="1" applyAlignment="1">
      <x:alignment horizontal="right" vertical="center"/>
    </x:xf>
    <x:xf numFmtId="201" fontId="5" fillId="0" borderId="2" xfId="0" applyNumberFormat="1" applyFont="1" applyFill="1" applyBorder="1" applyAlignment="1">
      <x:alignment horizontal="right" vertical="center"/>
    </x:xf>
    <x:xf numFmtId="201" fontId="5" fillId="0" borderId="3" xfId="0" applyNumberFormat="1" applyFont="1" applyFill="1" applyBorder="1" applyAlignment="1">
      <x:alignment horizontal="right" vertical="center"/>
    </x:xf>
    <x:xf numFmtId="201" fontId="5" fillId="0" borderId="4" xfId="0" applyNumberFormat="1" applyFont="1" applyFill="1" applyBorder="1" applyAlignment="1">
      <x:alignment horizontal="right" vertical="center"/>
    </x:xf>
    <x:xf numFmtId="205" fontId="5" fillId="0" borderId="2" xfId="0" applyNumberFormat="1" applyFont="1" applyFill="1" applyBorder="1" applyAlignment="1">
      <x:alignment horizontal="right" vertical="center"/>
    </x:xf>
    <x:xf numFmtId="205" fontId="5" fillId="0" borderId="3" xfId="0" applyNumberFormat="1" applyFont="1" applyFill="1" applyBorder="1" applyAlignment="1">
      <x:alignment horizontal="right" vertical="center"/>
    </x:xf>
    <x:xf numFmtId="205" fontId="5" fillId="0" borderId="4" xfId="0" applyNumberFormat="1" applyFont="1" applyFill="1" applyBorder="1" applyAlignment="1">
      <x:alignment horizontal="right" vertical="center"/>
    </x:xf>
    <x:xf numFmtId="202" fontId="5" fillId="0" borderId="2" xfId="0" applyNumberFormat="1" applyFont="1" applyFill="1" applyBorder="1" applyAlignment="1">
      <x:alignment horizontal="right" vertical="center"/>
    </x:xf>
    <x:xf numFmtId="202" fontId="5" fillId="0" borderId="3" xfId="0" applyNumberFormat="1" applyFont="1" applyFill="1" applyBorder="1" applyAlignment="1">
      <x:alignment horizontal="right" vertical="center"/>
    </x:xf>
    <x:xf numFmtId="202" fontId="5" fillId="0" borderId="4" xfId="0" applyNumberFormat="1" applyFont="1" applyFill="1" applyBorder="1" applyAlignment="1">
      <x:alignment horizontal="right" vertical="center"/>
    </x:xf>
    <x:xf numFmtId="0" fontId="6" fillId="4" borderId="1" xfId="0" applyNumberFormat="1" applyFont="1" applyFill="1" applyBorder="1" applyAlignment="1">
      <x:alignment horizontal="center" vertical="center"/>
    </x:xf>
    <x:xf numFmtId="202" fontId="5" fillId="4" borderId="2" xfId="0" applyNumberFormat="1" applyFont="1" applyFill="1" applyBorder="1" applyAlignment="1">
      <x:alignment horizontal="right" vertical="center"/>
    </x:xf>
    <x:xf numFmtId="202" fontId="5" fillId="4" borderId="3" xfId="0" applyNumberFormat="1" applyFont="1" applyFill="1" applyBorder="1" applyAlignment="1">
      <x:alignment horizontal="right" vertical="center"/>
    </x:xf>
    <x:xf numFmtId="202" fontId="5" fillId="4" borderId="4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978d50912a4cc4" /><Relationship Type="http://schemas.openxmlformats.org/officeDocument/2006/relationships/theme" Target="/xl/theme/theme1.xml" Id="Ra6bc8fda716e4cb9" /><Relationship Type="http://schemas.openxmlformats.org/officeDocument/2006/relationships/sharedStrings" Target="/xl/sharedStrings.xml" Id="R6c95c25b76444aed" /><Relationship Type="http://schemas.openxmlformats.org/officeDocument/2006/relationships/worksheet" Target="/xl/worksheets/sheet1.xml" Id="R5b753891039a4aaf" /><Relationship Type="http://schemas.openxmlformats.org/officeDocument/2006/relationships/worksheet" Target="/xl/worksheets/sheet2.xml" Id="R43c39220fe4d4349" /></Relationships>
</file>

<file path=xl/tables/table1.xml><?xml version="1.0" encoding="utf-8"?>
<x:table xmlns:x="http://schemas.openxmlformats.org/spreadsheetml/2006/main" id="1" name="RegionalPrices" displayName="RegionalPrices" ref="A1:S115" headerRowCount="1" totalsRowCount="0" totalsRowShown="0">
  <x:autoFilter ref="A1:S115"/>
  <x:tableColumns count="19">
    <x:tableColumn id="1" name="国家／地区"/>
    <x:tableColumn id="2" name="系数"/>
    <x:tableColumn id="3" name="币种"/>
    <x:tableColumn id="4" name="试用7天"/>
    <x:tableColumn id="5" name="Basic月"/>
    <x:tableColumn id="6" name="Plus月"/>
    <x:tableColumn id="7" name="新Pro月"/>
    <x:tableColumn id="8" name="Basic年"/>
    <x:tableColumn id="9" name="Plus年"/>
    <x:tableColumn id="10" name="新Pro年"/>
    <x:tableColumn id="11" name="作业包"/>
    <x:tableColumn id="12" name="检测包"/>
    <x:tableColumn id="13" name="Humanizer包"/>
    <x:tableColumn id="14" name="Study Pass月"/>
    <x:tableColumn id="15" name="原组别"/>
    <x:tableColumn id="16" name="倍率区"/>
    <x:tableColumn id="17" name="沙盒配置状态"/>
    <x:tableColumn id="18" name="原Pro月（历史）"/>
    <x:tableColumn id="19" name="原Pro年（历史）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9f083178b1e4d5c" /></Relationships>
</file>

<file path=xl/worksheets/sheet1.xml><?xml version="1.0" encoding="utf-8"?>
<x:worksheet xmlns:x="http://schemas.openxmlformats.org/spreadsheetml/2006/main">
  <x:sheetPr>
    <x:tabColor rgb="FF323232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4" hidden="0" customWidth="1"/>
    <x:col min="2" max="2" width="10" hidden="0" customWidth="1"/>
    <x:col min="3" max="3" width="10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  <x:col min="8" max="8" width="15" hidden="0" customWidth="1"/>
    <x:col min="9" max="9" width="15" hidden="0" customWidth="1"/>
    <x:col min="10" max="10" width="15" hidden="0" customWidth="1"/>
    <x:col min="11" max="11" width="14" hidden="0" customWidth="1"/>
    <x:col min="12" max="12" width="13" hidden="0" customWidth="1"/>
    <x:col min="13" max="13" width="17" hidden="0" customWidth="1"/>
    <x:col min="14" max="14" width="17" hidden="0" customWidth="1"/>
    <x:col min="15" max="15" width="10" hidden="0" customWidth="1"/>
    <x:col min="16" max="16" width="11" hidden="0" customWidth="1"/>
    <x:col min="17" max="17" width="22" hidden="0" customWidth="1"/>
    <x:col min="18" max="18" width="20" hidden="0" customWidth="1"/>
    <x:col min="19" max="19" width="20" hidden="0" customWidth="1"/>
  </x:cols>
  <x:sheetData>
    <x:row r="1" ht="34" customHeight="1">
      <x:c r="A1" s="7" t="str">
        <x:v>国家／地区</x:v>
      </x:c>
      <x:c r="B1" s="7" t="str">
        <x:v>系数</x:v>
      </x:c>
      <x:c r="C1" s="7" t="str">
        <x:v>币种</x:v>
      </x:c>
      <x:c r="D1" s="7" t="str">
        <x:v>试用7天</x:v>
      </x:c>
      <x:c r="E1" s="7" t="str">
        <x:v>Basic月</x:v>
      </x:c>
      <x:c r="F1" s="7" t="str">
        <x:v>Plus月</x:v>
      </x:c>
      <x:c r="G1" s="22" t="str">
        <x:v>新Pro月</x:v>
      </x:c>
      <x:c r="H1" s="7" t="str">
        <x:v>Basic年</x:v>
      </x:c>
      <x:c r="I1" s="7" t="str">
        <x:v>Plus年</x:v>
      </x:c>
      <x:c r="J1" s="22" t="str">
        <x:v>新Pro年</x:v>
      </x:c>
      <x:c r="K1" s="7" t="str">
        <x:v>作业包</x:v>
      </x:c>
      <x:c r="L1" s="7" t="str">
        <x:v>检测包</x:v>
      </x:c>
      <x:c r="M1" s="7" t="str">
        <x:v>Humanizer包</x:v>
      </x:c>
      <x:c r="N1" s="7" t="str">
        <x:v>Study Pass月</x:v>
      </x:c>
      <x:c r="O1" s="7" t="str">
        <x:v>原组别</x:v>
      </x:c>
      <x:c r="P1" s="7" t="str">
        <x:v>倍率区</x:v>
      </x:c>
      <x:c r="Q1" s="7" t="str">
        <x:v>沙盒配置状态</x:v>
      </x:c>
      <x:c r="R1" s="27" t="str">
        <x:v>原Pro月（历史）</x:v>
      </x:c>
      <x:c r="S1" s="27" t="str">
        <x:v>原Pro年（历史）</x:v>
      </x:c>
    </x:row>
    <x:row r="2" ht="29" customHeight="1">
      <x:c r="A2" s="4" t="str">
        <x:v>美国</x:v>
      </x:c>
      <x:c r="B2" s="10" t="n">
        <x:v>1</x:v>
      </x:c>
      <x:c r="C2" s="13" t="str">
        <x:v>USD</x:v>
      </x:c>
      <x:c r="D2" s="12" t="n">
        <x:v>2.99</x:v>
      </x:c>
      <x:c r="E2" s="12" t="n">
        <x:v>19.99</x:v>
      </x:c>
      <x:c r="F2" s="12" t="n">
        <x:v>39.99</x:v>
      </x:c>
      <x:c r="G2" s="23" t="n">
        <x:v>29.99</x:v>
      </x:c>
      <x:c r="H2" s="12" t="n">
        <x:v>95.88</x:v>
      </x:c>
      <x:c r="I2" s="12" t="n">
        <x:v>191.88</x:v>
      </x:c>
      <x:c r="J2" s="23" t="n">
        <x:f>ROUND(G2*12,2)</x:f>
        <x:v>359.88</x:v>
      </x:c>
      <x:c r="K2" s="12" t="n">
        <x:v>9.99</x:v>
      </x:c>
      <x:c r="L2" s="12" t="n">
        <x:v>4.99</x:v>
      </x:c>
      <x:c r="M2" s="12" t="n">
        <x:v>6.99</x:v>
      </x:c>
      <x:c r="N2" s="14" t="n">
        <x:f>'Pass测算'!J101</x:f>
        <x:v>0.99</x:v>
      </x:c>
      <x:c r="O2" s="13" t="str">
        <x:v>第2组</x:v>
      </x:c>
      <x:c r="P2" s="13" t="str">
        <x:v>Z100</x:v>
      </x:c>
      <x:c r="Q2" s="13" t="str">
        <x:v>已配置</x:v>
      </x:c>
      <x:c r="R2" s="28" t="n">
        <x:v>79.99</x:v>
      </x:c>
      <x:c r="S2" s="28" t="n">
        <x:v>383.88</x:v>
      </x:c>
    </x:row>
    <x:row r="3" ht="29" customHeight="1">
      <x:c r="A3" s="4" t="str">
        <x:v>印度</x:v>
      </x:c>
      <x:c r="B3" s="10" t="n">
        <x:v>0.2</x:v>
      </x:c>
      <x:c r="C3" s="13" t="str">
        <x:v>INR</x:v>
      </x:c>
      <x:c r="D3" s="15" t="n">
        <x:v>59</x:v>
      </x:c>
      <x:c r="E3" s="15" t="n">
        <x:v>379</x:v>
      </x:c>
      <x:c r="F3" s="15" t="n">
        <x:v>759</x:v>
      </x:c>
      <x:c r="G3" s="24" t="n">
        <x:v>569</x:v>
      </x:c>
      <x:c r="H3" s="15" t="n">
        <x:v>1799</x:v>
      </x:c>
      <x:c r="I3" s="15" t="n">
        <x:v>3699</x:v>
      </x:c>
      <x:c r="J3" s="24" t="n">
        <x:f>ROUND(G3*12,2)</x:f>
        <x:v>6828</x:v>
      </x:c>
      <x:c r="K3" s="15" t="n">
        <x:v>189</x:v>
      </x:c>
      <x:c r="L3" s="15" t="n">
        <x:v>99</x:v>
      </x:c>
      <x:c r="M3" s="15" t="n">
        <x:v>129</x:v>
      </x:c>
      <x:c r="N3" s="15" t="n">
        <x:f>'Pass测算'!J2</x:f>
        <x:v>57</x:v>
      </x:c>
      <x:c r="O3" s="13" t="str">
        <x:v>第2组</x:v>
      </x:c>
      <x:c r="P3" s="13" t="str">
        <x:v>Z020</x:v>
      </x:c>
      <x:c r="Q3" s="13" t="str">
        <x:v>已配置</x:v>
      </x:c>
      <x:c r="R3" s="29" t="n">
        <x:v>1499</x:v>
      </x:c>
      <x:c r="S3" s="29" t="n">
        <x:v>7299</x:v>
      </x:c>
    </x:row>
    <x:row r="4" ht="29" customHeight="1">
      <x:c r="A4" s="4" t="str">
        <x:v>巴西</x:v>
      </x:c>
      <x:c r="B4" s="10" t="n">
        <x:v>0.4</x:v>
      </x:c>
      <x:c r="C4" s="13" t="str">
        <x:v>BRL</x:v>
      </x:c>
      <x:c r="D4" s="12" t="n">
        <x:v>5.99</x:v>
      </x:c>
      <x:c r="E4" s="12" t="n">
        <x:v>40.99</x:v>
      </x:c>
      <x:c r="F4" s="12" t="n">
        <x:v>80.99</x:v>
      </x:c>
      <x:c r="G4" s="23" t="n">
        <x:v>60.99</x:v>
      </x:c>
      <x:c r="H4" s="12" t="n">
        <x:v>194.99</x:v>
      </x:c>
      <x:c r="I4" s="12" t="n">
        <x:v>390.99</x:v>
      </x:c>
      <x:c r="J4" s="23" t="n">
        <x:f>ROUND(G4*12,2)</x:f>
        <x:v>731.88</x:v>
      </x:c>
      <x:c r="K4" s="12" t="n">
        <x:v>19.99</x:v>
      </x:c>
      <x:c r="L4" s="12" t="n">
        <x:v>9.99</x:v>
      </x:c>
      <x:c r="M4" s="12" t="n">
        <x:v>13.99</x:v>
      </x:c>
      <x:c r="N4" s="14" t="n">
        <x:f>'Pass测算'!J49</x:f>
        <x:v>3.1</x:v>
      </x:c>
      <x:c r="O4" s="13" t="str">
        <x:v>第2组</x:v>
      </x:c>
      <x:c r="P4" s="13" t="str">
        <x:v>Z040</x:v>
      </x:c>
      <x:c r="Q4" s="13" t="str">
        <x:v>已配置</x:v>
      </x:c>
      <x:c r="R4" s="28" t="n">
        <x:v>162.99</x:v>
      </x:c>
      <x:c r="S4" s="28" t="n">
        <x:v>780.99</x:v>
      </x:c>
    </x:row>
    <x:row r="5" ht="29" customHeight="1">
      <x:c r="A5" s="16" t="str">
        <x:v>中国香港</x:v>
      </x:c>
      <x:c r="B5" s="17" t="n">
        <x:v>0.8</x:v>
      </x:c>
      <x:c r="C5" s="18" t="str">
        <x:v>HKD</x:v>
      </x:c>
      <x:c r="D5" s="19" t="n">
        <x:v>19</x:v>
      </x:c>
      <x:c r="E5" s="19" t="n">
        <x:v>129</x:v>
      </x:c>
      <x:c r="F5" s="19" t="n">
        <x:v>249</x:v>
      </x:c>
      <x:c r="G5" s="25" t="n">
        <x:v>189</x:v>
      </x:c>
      <x:c r="H5" s="19" t="n">
        <x:v>619</x:v>
      </x:c>
      <x:c r="I5" s="19" t="n">
        <x:v>1199</x:v>
      </x:c>
      <x:c r="J5" s="25" t="n">
        <x:f>ROUND(G5*12,2)</x:f>
        <x:v>2268</x:v>
      </x:c>
      <x:c r="K5" s="19" t="n">
        <x:v>59</x:v>
      </x:c>
      <x:c r="L5" s="19" t="n">
        <x:v>29</x:v>
      </x:c>
      <x:c r="M5" s="19" t="n">
        <x:v>45</x:v>
      </x:c>
      <x:c r="N5" s="20" t="n">
        <x:f>'Pass测算'!J89</x:f>
        <x:v>6.4</x:v>
      </x:c>
      <x:c r="O5" s="18" t="str">
        <x:v>第1组</x:v>
      </x:c>
      <x:c r="P5" s="18" t="str">
        <x:v>Z080</x:v>
      </x:c>
      <x:c r="Q5" s="18" t="str">
        <x:v>已配置</x:v>
      </x:c>
      <x:c r="R5" s="29" t="n">
        <x:v>499</x:v>
      </x:c>
      <x:c r="S5" s="29" t="n">
        <x:v>2399</x:v>
      </x:c>
    </x:row>
    <x:row r="6" ht="29" customHeight="1">
      <x:c r="A6" s="16" t="str">
        <x:v>中国台湾</x:v>
      </x:c>
      <x:c r="B6" s="17" t="n">
        <x:v>0.65</x:v>
      </x:c>
      <x:c r="C6" s="18" t="str">
        <x:v>TWD</x:v>
      </x:c>
      <x:c r="D6" s="19" t="n">
        <x:v>59</x:v>
      </x:c>
      <x:c r="E6" s="19" t="n">
        <x:v>419</x:v>
      </x:c>
      <x:c r="F6" s="19" t="n">
        <x:v>839</x:v>
      </x:c>
      <x:c r="G6" s="25" t="n">
        <x:v>629</x:v>
      </x:c>
      <x:c r="H6" s="19" t="n">
        <x:v>1999</x:v>
      </x:c>
      <x:c r="I6" s="19" t="n">
        <x:v>3999</x:v>
      </x:c>
      <x:c r="J6" s="25" t="n">
        <x:f>ROUND(G6*12,2)</x:f>
        <x:v>7548</x:v>
      </x:c>
      <x:c r="K6" s="19" t="n">
        <x:v>209</x:v>
      </x:c>
      <x:c r="L6" s="19" t="n">
        <x:v>109</x:v>
      </x:c>
      <x:c r="M6" s="19" t="n">
        <x:v>149</x:v>
      </x:c>
      <x:c r="N6" s="19" t="n">
        <x:f>'Pass测算'!J81</x:f>
        <x:v>21</x:v>
      </x:c>
      <x:c r="O6" s="18" t="str">
        <x:v>第1组</x:v>
      </x:c>
      <x:c r="P6" s="18" t="str">
        <x:v>Z065</x:v>
      </x:c>
      <x:c r="Q6" s="18" t="str">
        <x:v>已配置</x:v>
      </x:c>
      <x:c r="R6" s="29" t="n">
        <x:v>1699</x:v>
      </x:c>
      <x:c r="S6" s="29" t="n">
        <x:v>8099</x:v>
      </x:c>
    </x:row>
    <x:row r="7" ht="29" customHeight="1">
      <x:c r="A7" s="4" t="str">
        <x:v>越南</x:v>
      </x:c>
      <x:c r="B7" s="10" t="n">
        <x:v>0.25</x:v>
      </x:c>
      <x:c r="C7" s="13" t="str">
        <x:v>VND</x:v>
      </x:c>
      <x:c r="D7" s="15" t="n">
        <x:v>18900</x:v>
      </x:c>
      <x:c r="E7" s="15" t="n">
        <x:v>129000</x:v>
      </x:c>
      <x:c r="F7" s="15" t="n">
        <x:v>259000</x:v>
      </x:c>
      <x:c r="G7" s="24" t="n">
        <x:v>189000</x:v>
      </x:c>
      <x:c r="H7" s="15" t="n">
        <x:v>619000</x:v>
      </x:c>
      <x:c r="I7" s="15" t="n">
        <x:v>1239000</x:v>
      </x:c>
      <x:c r="J7" s="24" t="n">
        <x:f>ROUND(G7*12,2)</x:f>
        <x:v>2268000</x:v>
      </x:c>
      <x:c r="K7" s="15" t="n">
        <x:v>64900</x:v>
      </x:c>
      <x:c r="L7" s="15" t="n">
        <x:v>31900</x:v>
      </x:c>
      <x:c r="M7" s="15" t="n">
        <x:v>44900</x:v>
      </x:c>
      <x:c r="N7" s="15" t="n">
        <x:f>'Pass测算'!J22</x:f>
        <x:v>15500</x:v>
      </x:c>
      <x:c r="O7" s="13" t="str">
        <x:v>第2组</x:v>
      </x:c>
      <x:c r="P7" s="13" t="str">
        <x:v>Z025</x:v>
      </x:c>
      <x:c r="Q7" s="13" t="str">
        <x:v>已配置</x:v>
      </x:c>
      <x:c r="R7" s="29" t="n">
        <x:v>519000</x:v>
      </x:c>
      <x:c r="S7" s="29" t="n">
        <x:v>2490000</x:v>
      </x:c>
    </x:row>
    <x:row r="8" ht="29" customHeight="1">
      <x:c r="A8" s="4" t="str">
        <x:v>阿根廷</x:v>
      </x:c>
      <x:c r="B8" s="10" t="n">
        <x:v>0.4</x:v>
      </x:c>
      <x:c r="C8" s="13" t="str">
        <x:v>ARS</x:v>
      </x:c>
      <x:c r="D8" s="15" t="n">
        <x:v>1799</x:v>
      </x:c>
      <x:c r="E8" s="15" t="n">
        <x:v>11900</x:v>
      </x:c>
      <x:c r="F8" s="15" t="n">
        <x:v>23900</x:v>
      </x:c>
      <x:c r="G8" s="24" t="n">
        <x:v>17900</x:v>
      </x:c>
      <x:c r="H8" s="15" t="n">
        <x:v>57900</x:v>
      </x:c>
      <x:c r="I8" s="15" t="n">
        <x:v>115900</x:v>
      </x:c>
      <x:c r="J8" s="24" t="n">
        <x:f>ROUND(G8*12,2)</x:f>
        <x:v>214800</x:v>
      </x:c>
      <x:c r="K8" s="15" t="n">
        <x:v>6099</x:v>
      </x:c>
      <x:c r="L8" s="15" t="n">
        <x:v>2999</x:v>
      </x:c>
      <x:c r="M8" s="15" t="n">
        <x:v>4199</x:v>
      </x:c>
      <x:c r="N8" s="15" t="n">
        <x:f>'Pass测算'!J50</x:f>
        <x:v>900</x:v>
      </x:c>
      <x:c r="O8" s="13" t="str">
        <x:v>第2组</x:v>
      </x:c>
      <x:c r="P8" s="13" t="str">
        <x:v>Z040</x:v>
      </x:c>
      <x:c r="Q8" s="13" t="str">
        <x:v>已配置</x:v>
      </x:c>
      <x:c r="R8" s="29" t="n">
        <x:v>48900</x:v>
      </x:c>
      <x:c r="S8" s="29" t="n">
        <x:v>229000</x:v>
      </x:c>
    </x:row>
    <x:row r="9" ht="29" customHeight="1">
      <x:c r="A9" s="4" t="str">
        <x:v>澳大利亚</x:v>
      </x:c>
      <x:c r="B9" s="10" t="n">
        <x:v>0.95</x:v>
      </x:c>
      <x:c r="C9" s="13" t="str">
        <x:v>AUD</x:v>
      </x:c>
      <x:c r="D9" s="12" t="n">
        <x:v>3.99</x:v>
      </x:c>
      <x:c r="E9" s="12" t="n">
        <x:v>26.99</x:v>
      </x:c>
      <x:c r="F9" s="12" t="n">
        <x:v>54.99</x:v>
      </x:c>
      <x:c r="G9" s="23" t="n">
        <x:v>40.99</x:v>
      </x:c>
      <x:c r="H9" s="12" t="n">
        <x:v>130.99</x:v>
      </x:c>
      <x:c r="I9" s="12" t="n">
        <x:v>261.99</x:v>
      </x:c>
      <x:c r="J9" s="23" t="n">
        <x:f>ROUND(G9*12,2)</x:f>
        <x:v>491.88</x:v>
      </x:c>
      <x:c r="K9" s="12" t="n">
        <x:v>13.99</x:v>
      </x:c>
      <x:c r="L9" s="12" t="n">
        <x:v>6.99</x:v>
      </x:c>
      <x:c r="M9" s="12" t="n">
        <x:v>9.49</x:v>
      </x:c>
      <x:c r="N9" s="14" t="n">
        <x:f>'Pass测算'!J99</x:f>
        <x:v>1.4</x:v>
      </x:c>
      <x:c r="O9" s="13" t="str">
        <x:v>第2组</x:v>
      </x:c>
      <x:c r="P9" s="13" t="str">
        <x:v>Z095</x:v>
      </x:c>
      <x:c r="Q9" s="13" t="str">
        <x:v>已配置</x:v>
      </x:c>
      <x:c r="R9" s="28" t="n">
        <x:v>108.99</x:v>
      </x:c>
      <x:c r="S9" s="28" t="n">
        <x:v>524.99</x:v>
      </x:c>
    </x:row>
    <x:row r="10" ht="29" customHeight="1">
      <x:c r="A10" s="4" t="str">
        <x:v>马来西亚</x:v>
      </x:c>
      <x:c r="B10" s="10" t="n">
        <x:v>0.35</x:v>
      </x:c>
      <x:c r="C10" s="13" t="str">
        <x:v>MYR</x:v>
      </x:c>
      <x:c r="D10" s="12" t="n">
        <x:v>4.49</x:v>
      </x:c>
      <x:c r="E10" s="12" t="n">
        <x:v>28.99</x:v>
      </x:c>
      <x:c r="F10" s="12" t="n">
        <x:v>56.99</x:v>
      </x:c>
      <x:c r="G10" s="23" t="n">
        <x:v>42.99</x:v>
      </x:c>
      <x:c r="H10" s="12" t="n">
        <x:v>136.99</x:v>
      </x:c>
      <x:c r="I10" s="12" t="n">
        <x:v>273.99</x:v>
      </x:c>
      <x:c r="J10" s="23" t="n">
        <x:f>ROUND(G10*12,2)</x:f>
        <x:v>515.88</x:v>
      </x:c>
      <x:c r="K10" s="12" t="n">
        <x:v>13.99</x:v>
      </x:c>
      <x:c r="L10" s="12" t="n">
        <x:v>6.99</x:v>
      </x:c>
      <x:c r="M10" s="12" t="n">
        <x:v>9.99</x:v>
      </x:c>
      <x:c r="N10" s="14" t="n">
        <x:f>'Pass测算'!J39</x:f>
        <x:v>2.5</x:v>
      </x:c>
      <x:c r="O10" s="13" t="str">
        <x:v>第2组</x:v>
      </x:c>
      <x:c r="P10" s="13" t="str">
        <x:v>Z035</x:v>
      </x:c>
      <x:c r="Q10" s="13" t="str">
        <x:v>已配置</x:v>
      </x:c>
      <x:c r="R10" s="28" t="n">
        <x:v>113.99</x:v>
      </x:c>
      <x:c r="S10" s="28" t="n">
        <x:v>547.99</x:v>
      </x:c>
    </x:row>
    <x:row r="11" ht="29" customHeight="1">
      <x:c r="A11" s="4" t="str">
        <x:v>哥伦比亚</x:v>
      </x:c>
      <x:c r="B11" s="10" t="n">
        <x:v>0.35</x:v>
      </x:c>
      <x:c r="C11" s="13" t="str">
        <x:v>COP</x:v>
      </x:c>
      <x:c r="D11" s="12" t="n">
        <x:v>3299</x:v>
      </x:c>
      <x:c r="E11" s="12" t="n">
        <x:v>21900</x:v>
      </x:c>
      <x:c r="F11" s="12" t="n">
        <x:v>44900</x:v>
      </x:c>
      <x:c r="G11" s="23" t="n">
        <x:v>33900</x:v>
      </x:c>
      <x:c r="H11" s="12" t="n">
        <x:v>106900</x:v>
      </x:c>
      <x:c r="I11" s="12" t="n">
        <x:v>219000</x:v>
      </x:c>
      <x:c r="J11" s="23" t="n">
        <x:f>ROUND(G11*12,2)</x:f>
        <x:v>406800</x:v>
      </x:c>
      <x:c r="K11" s="12" t="n">
        <x:v>10900</x:v>
      </x:c>
      <x:c r="L11" s="12" t="n">
        <x:v>5599</x:v>
      </x:c>
      <x:c r="M11" s="12" t="n">
        <x:v>7799</x:v>
      </x:c>
      <x:c r="N11" s="15" t="n">
        <x:f>'Pass测算'!J40</x:f>
        <x:v>1900</x:v>
      </x:c>
      <x:c r="O11" s="13" t="str">
        <x:v>第2组</x:v>
      </x:c>
      <x:c r="P11" s="13" t="str">
        <x:v>Z035</x:v>
      </x:c>
      <x:c r="Q11" s="13" t="str">
        <x:v>已配置</x:v>
      </x:c>
      <x:c r="R11" s="28" t="n">
        <x:v>88900</x:v>
      </x:c>
      <x:c r="S11" s="28" t="n">
        <x:v>429000</x:v>
      </x:c>
    </x:row>
    <x:row r="12" ht="29" customHeight="1">
      <x:c r="A12" s="4" t="str">
        <x:v>菲律宾</x:v>
      </x:c>
      <x:c r="B12" s="10" t="n">
        <x:v>0.3</x:v>
      </x:c>
      <x:c r="C12" s="13" t="str">
        <x:v>PHP</x:v>
      </x:c>
      <x:c r="D12" s="12" t="n">
        <x:v>59</x:v>
      </x:c>
      <x:c r="E12" s="12" t="n">
        <x:v>379</x:v>
      </x:c>
      <x:c r="F12" s="12" t="n">
        <x:v>759</x:v>
      </x:c>
      <x:c r="G12" s="23" t="n">
        <x:v>569</x:v>
      </x:c>
      <x:c r="H12" s="12" t="n">
        <x:v>1799</x:v>
      </x:c>
      <x:c r="I12" s="12" t="n">
        <x:v>3599</x:v>
      </x:c>
      <x:c r="J12" s="23" t="n">
        <x:f>ROUND(G12*12,2)</x:f>
        <x:v>6828</x:v>
      </x:c>
      <x:c r="K12" s="12" t="n">
        <x:v>189</x:v>
      </x:c>
      <x:c r="L12" s="12" t="n">
        <x:v>99</x:v>
      </x:c>
      <x:c r="M12" s="12" t="n">
        <x:v>129</x:v>
      </x:c>
      <x:c r="N12" s="15" t="n">
        <x:f>'Pass测算'!J31</x:f>
        <x:v>38</x:v>
      </x:c>
      <x:c r="O12" s="13" t="str">
        <x:v>第2组</x:v>
      </x:c>
      <x:c r="P12" s="13" t="str">
        <x:v>Z030</x:v>
      </x:c>
      <x:c r="Q12" s="13" t="str">
        <x:v>已配置</x:v>
      </x:c>
      <x:c r="R12" s="28" t="n">
        <x:v>1499</x:v>
      </x:c>
      <x:c r="S12" s="28" t="n">
        <x:v>7299</x:v>
      </x:c>
    </x:row>
    <x:row r="13" ht="29" customHeight="1">
      <x:c r="A13" s="16" t="str">
        <x:v>印度尼西亚</x:v>
      </x:c>
      <x:c r="B13" s="17" t="n">
        <x:v>0.25</x:v>
      </x:c>
      <x:c r="C13" s="18" t="str">
        <x:v>IDR</x:v>
      </x:c>
      <x:c r="D13" s="19" t="n">
        <x:v>13900</x:v>
      </x:c>
      <x:c r="E13" s="19" t="n">
        <x:v>89900</x:v>
      </x:c>
      <x:c r="F13" s="19" t="n">
        <x:v>179000</x:v>
      </x:c>
      <x:c r="G13" s="25" t="n">
        <x:v>139000</x:v>
      </x:c>
      <x:c r="H13" s="19" t="n">
        <x:v>429000</x:v>
      </x:c>
      <x:c r="I13" s="19" t="n">
        <x:v>869000</x:v>
      </x:c>
      <x:c r="J13" s="25" t="n">
        <x:f>ROUND(G13*12,2)</x:f>
        <x:v>1668000</x:v>
      </x:c>
      <x:c r="K13" s="19" t="n">
        <x:v>44900</x:v>
      </x:c>
      <x:c r="L13" s="19" t="n">
        <x:v>22900</x:v>
      </x:c>
      <x:c r="M13" s="19" t="n">
        <x:v>31900</x:v>
      </x:c>
      <x:c r="N13" s="19" t="n">
        <x:f>'Pass测算'!J23</x:f>
        <x:v>10800</x:v>
      </x:c>
      <x:c r="O13" s="18" t="str">
        <x:v>第1组</x:v>
      </x:c>
      <x:c r="P13" s="18" t="str">
        <x:v>Z025</x:v>
      </x:c>
      <x:c r="Q13" s="18" t="str">
        <x:v>已配置</x:v>
      </x:c>
      <x:c r="R13" s="29" t="n">
        <x:v>359000</x:v>
      </x:c>
      <x:c r="S13" s="29" t="n">
        <x:v>1690000</x:v>
      </x:c>
    </x:row>
    <x:row r="14" ht="29" customHeight="1">
      <x:c r="A14" s="4" t="str">
        <x:v>英国</x:v>
      </x:c>
      <x:c r="B14" s="10" t="n">
        <x:v>0.85</x:v>
      </x:c>
      <x:c r="C14" s="13" t="str">
        <x:v>GBP</x:v>
      </x:c>
      <x:c r="D14" s="12" t="n">
        <x:v>1.99</x:v>
      </x:c>
      <x:c r="E14" s="12" t="n">
        <x:v>12.99</x:v>
      </x:c>
      <x:c r="F14" s="12" t="n">
        <x:v>25.99</x:v>
      </x:c>
      <x:c r="G14" s="23" t="n">
        <x:v>18.99</x:v>
      </x:c>
      <x:c r="H14" s="12" t="n">
        <x:v>60.99</x:v>
      </x:c>
      <x:c r="I14" s="12" t="n">
        <x:v>121.99</x:v>
      </x:c>
      <x:c r="J14" s="23" t="n">
        <x:f>ROUND(G14*12,2)</x:f>
        <x:v>227.88</x:v>
      </x:c>
      <x:c r="K14" s="12" t="n">
        <x:v>6.49</x:v>
      </x:c>
      <x:c r="L14" s="12" t="n">
        <x:v>2.99</x:v>
      </x:c>
      <x:c r="M14" s="12" t="n">
        <x:v>4.49</x:v>
      </x:c>
      <x:c r="N14" s="14" t="n">
        <x:f>'Pass测算'!J92</x:f>
        <x:v>0.65</x:v>
      </x:c>
      <x:c r="O14" s="13" t="str">
        <x:v>第2组</x:v>
      </x:c>
      <x:c r="P14" s="13" t="str">
        <x:v>Z085</x:v>
      </x:c>
      <x:c r="Q14" s="13" t="str">
        <x:v>已配置</x:v>
      </x:c>
      <x:c r="R14" s="28" t="n">
        <x:v>50.99</x:v>
      </x:c>
      <x:c r="S14" s="28" t="n">
        <x:v>244.99</x:v>
      </x:c>
    </x:row>
    <x:row r="15" ht="29" customHeight="1">
      <x:c r="A15" s="16" t="str">
        <x:v>土耳其</x:v>
      </x:c>
      <x:c r="B15" s="17" t="n">
        <x:v>0.4</x:v>
      </x:c>
      <x:c r="C15" s="18" t="str">
        <x:v>TRY</x:v>
      </x:c>
      <x:c r="D15" s="19" t="n">
        <x:v>59</x:v>
      </x:c>
      <x:c r="E15" s="19" t="n">
        <x:v>399</x:v>
      </x:c>
      <x:c r="F15" s="19" t="n">
        <x:v>789</x:v>
      </x:c>
      <x:c r="G15" s="25" t="n">
        <x:v>599</x:v>
      </x:c>
      <x:c r="H15" s="19" t="n">
        <x:v>1899</x:v>
      </x:c>
      <x:c r="I15" s="19" t="n">
        <x:v>3799</x:v>
      </x:c>
      <x:c r="J15" s="25" t="n">
        <x:f>ROUND(G15*12,2)</x:f>
        <x:v>7188</x:v>
      </x:c>
      <x:c r="K15" s="19" t="n">
        <x:v>199</x:v>
      </x:c>
      <x:c r="L15" s="19" t="n">
        <x:v>99</x:v>
      </x:c>
      <x:c r="M15" s="19" t="n">
        <x:v>139</x:v>
      </x:c>
      <x:c r="N15" s="19" t="n">
        <x:f>'Pass测算'!J51</x:f>
        <x:v>30</x:v>
      </x:c>
      <x:c r="O15" s="18" t="str">
        <x:v>第1组</x:v>
      </x:c>
      <x:c r="P15" s="18" t="str">
        <x:v>Z040</x:v>
      </x:c>
      <x:c r="Q15" s="18" t="str">
        <x:v>已配置</x:v>
      </x:c>
      <x:c r="R15" s="29" t="n">
        <x:v>1599</x:v>
      </x:c>
      <x:c r="S15" s="29" t="n">
        <x:v>7599</x:v>
      </x:c>
    </x:row>
    <x:row r="16" ht="29" customHeight="1">
      <x:c r="A16" s="4" t="str">
        <x:v>加拿大</x:v>
      </x:c>
      <x:c r="B16" s="10" t="n">
        <x:v>0.9</x:v>
      </x:c>
      <x:c r="C16" s="13" t="str">
        <x:v>CAD</x:v>
      </x:c>
      <x:c r="D16" s="12" t="n">
        <x:v>3.99</x:v>
      </x:c>
      <x:c r="E16" s="12" t="n">
        <x:v>24.99</x:v>
      </x:c>
      <x:c r="F16" s="12" t="n">
        <x:v>50.99</x:v>
      </x:c>
      <x:c r="G16" s="23" t="n">
        <x:v>37.99</x:v>
      </x:c>
      <x:c r="H16" s="12" t="n">
        <x:v>121.99</x:v>
      </x:c>
      <x:c r="I16" s="12" t="n">
        <x:v>243.99</x:v>
      </x:c>
      <x:c r="J16" s="23" t="n">
        <x:f>ROUND(G16*12,2)</x:f>
        <x:v>455.88</x:v>
      </x:c>
      <x:c r="K16" s="12" t="n">
        <x:v>12.99</x:v>
      </x:c>
      <x:c r="L16" s="12" t="n">
        <x:v>6.49</x:v>
      </x:c>
      <x:c r="M16" s="12" t="n">
        <x:v>8.99</x:v>
      </x:c>
      <x:c r="N16" s="14" t="n">
        <x:f>'Pass测算'!J97</x:f>
        <x:v>1.3</x:v>
      </x:c>
      <x:c r="O16" s="13" t="str">
        <x:v>第2组</x:v>
      </x:c>
      <x:c r="P16" s="13" t="str">
        <x:v>Z090</x:v>
      </x:c>
      <x:c r="Q16" s="13" t="str">
        <x:v>已配置</x:v>
      </x:c>
      <x:c r="R16" s="28" t="n">
        <x:v>101.99</x:v>
      </x:c>
      <x:c r="S16" s="28" t="n">
        <x:v>488.99</x:v>
      </x:c>
    </x:row>
    <x:row r="17" ht="29" customHeight="1">
      <x:c r="A17" s="4" t="str">
        <x:v>新加坡</x:v>
      </x:c>
      <x:c r="B17" s="10" t="n">
        <x:v>0.9</x:v>
      </x:c>
      <x:c r="C17" s="13" t="str">
        <x:v>SGD</x:v>
      </x:c>
      <x:c r="D17" s="12" t="n">
        <x:v>3.49</x:v>
      </x:c>
      <x:c r="E17" s="12" t="n">
        <x:v>22.99</x:v>
      </x:c>
      <x:c r="F17" s="12" t="n">
        <x:v>45.99</x:v>
      </x:c>
      <x:c r="G17" s="23" t="n">
        <x:v>34.99</x:v>
      </x:c>
      <x:c r="H17" s="12" t="n">
        <x:v>109.99</x:v>
      </x:c>
      <x:c r="I17" s="12" t="n">
        <x:v>220.99</x:v>
      </x:c>
      <x:c r="J17" s="23" t="n">
        <x:f>ROUND(G17*12,2)</x:f>
        <x:v>419.88</x:v>
      </x:c>
      <x:c r="K17" s="12" t="n">
        <x:v>11.99</x:v>
      </x:c>
      <x:c r="L17" s="12" t="n">
        <x:v>5.99</x:v>
      </x:c>
      <x:c r="M17" s="12" t="n">
        <x:v>7.99</x:v>
      </x:c>
      <x:c r="N17" s="14" t="n">
        <x:f>'Pass测算'!J98</x:f>
        <x:v>1.2</x:v>
      </x:c>
      <x:c r="O17" s="13" t="str">
        <x:v>第2组</x:v>
      </x:c>
      <x:c r="P17" s="13" t="str">
        <x:v>Z090</x:v>
      </x:c>
      <x:c r="Q17" s="13" t="str">
        <x:v>已配置</x:v>
      </x:c>
      <x:c r="R17" s="28" t="n">
        <x:v>91.99</x:v>
      </x:c>
      <x:c r="S17" s="28" t="n">
        <x:v>441.99</x:v>
      </x:c>
    </x:row>
    <x:row r="18" ht="29" customHeight="1">
      <x:c r="A18" s="4" t="str">
        <x:v>巴基斯坦</x:v>
      </x:c>
      <x:c r="B18" s="10" t="n">
        <x:v>0.2</x:v>
      </x:c>
      <x:c r="C18" s="13" t="str">
        <x:v>PKR</x:v>
      </x:c>
      <x:c r="D18" s="15" t="n">
        <x:v>169</x:v>
      </x:c>
      <x:c r="E18" s="15" t="n">
        <x:v>1099</x:v>
      </x:c>
      <x:c r="F18" s="15" t="n">
        <x:v>2199</x:v>
      </x:c>
      <x:c r="G18" s="24" t="n">
        <x:v>1699</x:v>
      </x:c>
      <x:c r="H18" s="15" t="n">
        <x:v>5299</x:v>
      </x:c>
      <x:c r="I18" s="15" t="n">
        <x:v>10599</x:v>
      </x:c>
      <x:c r="J18" s="24" t="n">
        <x:f>ROUND(G18*12,2)</x:f>
        <x:v>20388</x:v>
      </x:c>
      <x:c r="K18" s="15" t="n">
        <x:v>549</x:v>
      </x:c>
      <x:c r="L18" s="15" t="n">
        <x:v>279</x:v>
      </x:c>
      <x:c r="M18" s="15" t="n">
        <x:v>389</x:v>
      </x:c>
      <x:c r="N18" s="15" t="n">
        <x:f>'Pass测算'!J3</x:f>
        <x:v>170</x:v>
      </x:c>
      <x:c r="O18" s="13" t="str">
        <x:v>第2组</x:v>
      </x:c>
      <x:c r="P18" s="13" t="str">
        <x:v>Z020</x:v>
      </x:c>
      <x:c r="Q18" s="13" t="str">
        <x:v>已配置</x:v>
      </x:c>
      <x:c r="R18" s="29" t="n">
        <x:v>4399</x:v>
      </x:c>
      <x:c r="S18" s="29" t="n">
        <x:v>20900</x:v>
      </x:c>
    </x:row>
    <x:row r="19" ht="29" customHeight="1">
      <x:c r="A19" s="4" t="str">
        <x:v>埃及</x:v>
      </x:c>
      <x:c r="B19" s="10" t="n">
        <x:v>0.2</x:v>
      </x:c>
      <x:c r="C19" s="13" t="str">
        <x:v>EGP</x:v>
      </x:c>
      <x:c r="D19" s="15" t="n">
        <x:v>29</x:v>
      </x:c>
      <x:c r="E19" s="15" t="n">
        <x:v>209</x:v>
      </x:c>
      <x:c r="F19" s="15" t="n">
        <x:v>429</x:v>
      </x:c>
      <x:c r="G19" s="24" t="n">
        <x:v>319</x:v>
      </x:c>
      <x:c r="H19" s="15" t="n">
        <x:v>999</x:v>
      </x:c>
      <x:c r="I19" s="15" t="n">
        <x:v>2099</x:v>
      </x:c>
      <x:c r="J19" s="24" t="n">
        <x:f>ROUND(G19*12,2)</x:f>
        <x:v>3828</x:v>
      </x:c>
      <x:c r="K19" s="15" t="n">
        <x:v>109</x:v>
      </x:c>
      <x:c r="L19" s="15" t="n">
        <x:v>49</x:v>
      </x:c>
      <x:c r="M19" s="15" t="n">
        <x:v>79</x:v>
      </x:c>
      <x:c r="N19" s="15" t="n">
        <x:f>'Pass测算'!J4</x:f>
        <x:v>32</x:v>
      </x:c>
      <x:c r="O19" s="13" t="str">
        <x:v>第2组</x:v>
      </x:c>
      <x:c r="P19" s="13" t="str">
        <x:v>Z020</x:v>
      </x:c>
      <x:c r="Q19" s="13" t="str">
        <x:v>已配置</x:v>
      </x:c>
      <x:c r="R19" s="29" t="n">
        <x:v>859</x:v>
      </x:c>
      <x:c r="S19" s="29" t="n">
        <x:v>4099</x:v>
      </x:c>
    </x:row>
    <x:row r="20" ht="29" customHeight="1">
      <x:c r="A20" s="4" t="str">
        <x:v>南非</x:v>
      </x:c>
      <x:c r="B20" s="10" t="n">
        <x:v>0.35</x:v>
      </x:c>
      <x:c r="C20" s="13" t="str">
        <x:v>ZAR</x:v>
      </x:c>
      <x:c r="D20" s="12" t="n">
        <x:v>16.99</x:v>
      </x:c>
      <x:c r="E20" s="12" t="n">
        <x:v>114.99</x:v>
      </x:c>
      <x:c r="F20" s="12" t="n">
        <x:v>230.99</x:v>
      </x:c>
      <x:c r="G20" s="23" t="n">
        <x:v>172.99</x:v>
      </x:c>
      <x:c r="H20" s="12" t="n">
        <x:v>552.99</x:v>
      </x:c>
      <x:c r="I20" s="12" t="n">
        <x:v>1105.99</x:v>
      </x:c>
      <x:c r="J20" s="23" t="n">
        <x:f>ROUND(G20*12,2)</x:f>
        <x:v>2075.88</x:v>
      </x:c>
      <x:c r="K20" s="12" t="n">
        <x:v>57.99</x:v>
      </x:c>
      <x:c r="L20" s="12" t="n">
        <x:v>28.99</x:v>
      </x:c>
      <x:c r="M20" s="12" t="n">
        <x:v>39.99</x:v>
      </x:c>
      <x:c r="N20" s="14" t="n">
        <x:f>'Pass测算'!J41</x:f>
        <x:v>9.9</x:v>
      </x:c>
      <x:c r="O20" s="13" t="str">
        <x:v>第2组</x:v>
      </x:c>
      <x:c r="P20" s="13" t="str">
        <x:v>Z035</x:v>
      </x:c>
      <x:c r="Q20" s="13" t="str">
        <x:v>已配置</x:v>
      </x:c>
      <x:c r="R20" s="28" t="n">
        <x:v>460.99</x:v>
      </x:c>
      <x:c r="S20" s="28" t="n">
        <x:v>2212.99</x:v>
      </x:c>
    </x:row>
    <x:row r="21" ht="29" customHeight="1">
      <x:c r="A21" s="16" t="str">
        <x:v>韩国</x:v>
      </x:c>
      <x:c r="B21" s="17" t="n">
        <x:v>0.65</x:v>
      </x:c>
      <x:c r="C21" s="18" t="str">
        <x:v>KRW</x:v>
      </x:c>
      <x:c r="D21" s="19" t="n">
        <x:v>2490</x:v>
      </x:c>
      <x:c r="E21" s="19" t="n">
        <x:v>16900</x:v>
      </x:c>
      <x:c r="F21" s="19" t="n">
        <x:v>34900</x:v>
      </x:c>
      <x:c r="G21" s="25" t="n">
        <x:v>25900</x:v>
      </x:c>
      <x:c r="H21" s="19" t="n">
        <x:v>80900</x:v>
      </x:c>
      <x:c r="I21" s="19" t="n">
        <x:v>166900</x:v>
      </x:c>
      <x:c r="J21" s="25" t="n">
        <x:f>ROUND(G21*12,2)</x:f>
        <x:v>310800</x:v>
      </x:c>
      <x:c r="K21" s="19" t="n">
        <x:v>8690</x:v>
      </x:c>
      <x:c r="L21" s="19" t="n">
        <x:v>4290</x:v>
      </x:c>
      <x:c r="M21" s="19" t="n">
        <x:v>5990</x:v>
      </x:c>
      <x:c r="N21" s="19" t="n">
        <x:f>'Pass测算'!J82</x:f>
        <x:v>840</x:v>
      </x:c>
      <x:c r="O21" s="18" t="str">
        <x:v>第1组</x:v>
      </x:c>
      <x:c r="P21" s="18" t="str">
        <x:v>Z065</x:v>
      </x:c>
      <x:c r="Q21" s="18" t="str">
        <x:v>已配置</x:v>
      </x:c>
      <x:c r="R21" s="29" t="n">
        <x:v>69900</x:v>
      </x:c>
      <x:c r="S21" s="29" t="n">
        <x:v>334900</x:v>
      </x:c>
    </x:row>
    <x:row r="22" ht="29" customHeight="1">
      <x:c r="A22" s="4" t="str">
        <x:v>尼日利亚</x:v>
      </x:c>
      <x:c r="B22" s="10" t="n">
        <x:v>0.2</x:v>
      </x:c>
      <x:c r="C22" s="13" t="str">
        <x:v>NGN</x:v>
      </x:c>
      <x:c r="D22" s="15" t="n">
        <x:v>799</x:v>
      </x:c>
      <x:c r="E22" s="15" t="n">
        <x:v>5299</x:v>
      </x:c>
      <x:c r="F22" s="15" t="n">
        <x:v>10900</x:v>
      </x:c>
      <x:c r="G22" s="24" t="n">
        <x:v>7999</x:v>
      </x:c>
      <x:c r="H22" s="15" t="n">
        <x:v>25900</x:v>
      </x:c>
      <x:c r="I22" s="15" t="n">
        <x:v>51900</x:v>
      </x:c>
      <x:c r="J22" s="24" t="n">
        <x:f>ROUND(G22*12,2)</x:f>
        <x:v>95988</x:v>
      </x:c>
      <x:c r="K22" s="15" t="n">
        <x:v>2699</x:v>
      </x:c>
      <x:c r="L22" s="15" t="n">
        <x:v>1299</x:v>
      </x:c>
      <x:c r="M22" s="15" t="n">
        <x:v>1899</x:v>
      </x:c>
      <x:c r="N22" s="15" t="n">
        <x:f>'Pass测算'!J5</x:f>
        <x:v>800</x:v>
      </x:c>
      <x:c r="O22" s="13" t="str">
        <x:v>第2组</x:v>
      </x:c>
      <x:c r="P22" s="13" t="str">
        <x:v>Z020</x:v>
      </x:c>
      <x:c r="Q22" s="13" t="str">
        <x:v>已配置</x:v>
      </x:c>
      <x:c r="R22" s="29" t="n">
        <x:v>20900</x:v>
      </x:c>
      <x:c r="S22" s="29" t="n">
        <x:v>99000</x:v>
      </x:c>
    </x:row>
    <x:row r="23" ht="29" customHeight="1">
      <x:c r="A23" s="4" t="str">
        <x:v>孟加拉国</x:v>
      </x:c>
      <x:c r="B23" s="10" t="n">
        <x:v>0.2</x:v>
      </x:c>
      <x:c r="C23" s="13" t="str">
        <x:v>BDT</x:v>
      </x:c>
      <x:c r="D23" s="15" t="n">
        <x:v>69</x:v>
      </x:c>
      <x:c r="E23" s="15" t="n">
        <x:v>489</x:v>
      </x:c>
      <x:c r="F23" s="15" t="n">
        <x:v>989</x:v>
      </x:c>
      <x:c r="G23" s="24" t="n">
        <x:v>739</x:v>
      </x:c>
      <x:c r="H23" s="15" t="n">
        <x:v>2399</x:v>
      </x:c>
      <x:c r="I23" s="15" t="n">
        <x:v>4699</x:v>
      </x:c>
      <x:c r="J23" s="24" t="n">
        <x:f>ROUND(G23*12,2)</x:f>
        <x:v>8868</x:v>
      </x:c>
      <x:c r="K23" s="15" t="n">
        <x:v>249</x:v>
      </x:c>
      <x:c r="L23" s="15" t="n">
        <x:v>119</x:v>
      </x:c>
      <x:c r="M23" s="15" t="n">
        <x:v>169</x:v>
      </x:c>
      <x:c r="N23" s="15" t="n">
        <x:f>'Pass测算'!J6</x:f>
        <x:v>74</x:v>
      </x:c>
      <x:c r="O23" s="13" t="str">
        <x:v>第2组</x:v>
      </x:c>
      <x:c r="P23" s="13" t="str">
        <x:v>Z020</x:v>
      </x:c>
      <x:c r="Q23" s="13" t="str">
        <x:v>已配置</x:v>
      </x:c>
      <x:c r="R23" s="29" t="n">
        <x:v>1999</x:v>
      </x:c>
      <x:c r="S23" s="29" t="n">
        <x:v>9399</x:v>
      </x:c>
    </x:row>
    <x:row r="24" ht="29" customHeight="1">
      <x:c r="A24" s="4" t="str">
        <x:v>墨西哥</x:v>
      </x:c>
      <x:c r="B24" s="10" t="n">
        <x:v>0.45</x:v>
      </x:c>
      <x:c r="C24" s="13" t="str">
        <x:v>MXN</x:v>
      </x:c>
      <x:c r="D24" s="12" t="n">
        <x:v>24.99</x:v>
      </x:c>
      <x:c r="E24" s="12" t="n">
        <x:v>165.99</x:v>
      </x:c>
      <x:c r="F24" s="12" t="n">
        <x:v>331.99</x:v>
      </x:c>
      <x:c r="G24" s="23" t="n">
        <x:v>248.99</x:v>
      </x:c>
      <x:c r="H24" s="12" t="n">
        <x:v>796.99</x:v>
      </x:c>
      <x:c r="I24" s="12" t="n">
        <x:v>1594.99</x:v>
      </x:c>
      <x:c r="J24" s="23" t="n">
        <x:f>ROUND(G24*12,2)</x:f>
        <x:v>2987.88</x:v>
      </x:c>
      <x:c r="K24" s="12" t="n">
        <x:v>82.99</x:v>
      </x:c>
      <x:c r="L24" s="12" t="n">
        <x:v>40.99</x:v>
      </x:c>
      <x:c r="M24" s="12" t="n">
        <x:v>57.99</x:v>
      </x:c>
      <x:c r="N24" s="15" t="n">
        <x:f>'Pass测算'!J60</x:f>
        <x:v>12</x:v>
      </x:c>
      <x:c r="O24" s="13" t="str">
        <x:v>第2组</x:v>
      </x:c>
      <x:c r="P24" s="13" t="str">
        <x:v>Z045</x:v>
      </x:c>
      <x:c r="Q24" s="13" t="str">
        <x:v>已配置</x:v>
      </x:c>
      <x:c r="R24" s="28" t="n">
        <x:v>664.99</x:v>
      </x:c>
      <x:c r="S24" s="28" t="n">
        <x:v>3189.99</x:v>
      </x:c>
    </x:row>
    <x:row r="25" ht="29" customHeight="1">
      <x:c r="A25" s="4" t="str">
        <x:v>埃塞俄比亚</x:v>
      </x:c>
      <x:c r="B25" s="10" t="n">
        <x:v>0.2</x:v>
      </x:c>
      <x:c r="C25" s="13" t="str">
        <x:v>ETB</x:v>
      </x:c>
      <x:c r="D25" s="15" t="n">
        <x:v>99</x:v>
      </x:c>
      <x:c r="E25" s="15" t="n">
        <x:v>649</x:v>
      </x:c>
      <x:c r="F25" s="15" t="n">
        <x:v>1299</x:v>
      </x:c>
      <x:c r="G25" s="24" t="n">
        <x:v>969</x:v>
      </x:c>
      <x:c r="H25" s="15" t="n">
        <x:v>3099</x:v>
      </x:c>
      <x:c r="I25" s="15" t="n">
        <x:v>6199</x:v>
      </x:c>
      <x:c r="J25" s="24" t="n">
        <x:f>ROUND(G25*12,2)</x:f>
        <x:v>11628</x:v>
      </x:c>
      <x:c r="K25" s="15" t="n">
        <x:v>319</x:v>
      </x:c>
      <x:c r="L25" s="15" t="n">
        <x:v>159</x:v>
      </x:c>
      <x:c r="M25" s="15" t="n">
        <x:v>229</x:v>
      </x:c>
      <x:c r="N25" s="15" t="n">
        <x:f>'Pass测算'!J7</x:f>
        <x:v>98</x:v>
      </x:c>
      <x:c r="O25" s="13" t="str">
        <x:v>第2组</x:v>
      </x:c>
      <x:c r="P25" s="13" t="str">
        <x:v>Z020</x:v>
      </x:c>
      <x:c r="Q25" s="13" t="str">
        <x:v>已配置</x:v>
      </x:c>
      <x:c r="R25" s="29" t="n">
        <x:v>2599</x:v>
      </x:c>
      <x:c r="S25" s="29" t="n">
        <x:v>12399</x:v>
      </x:c>
    </x:row>
    <x:row r="26" ht="29" customHeight="1">
      <x:c r="A26" s="16" t="str">
        <x:v>德国</x:v>
      </x:c>
      <x:c r="B26" s="17" t="n">
        <x:v>0.8</x:v>
      </x:c>
      <x:c r="C26" s="18" t="str">
        <x:v>EUR</x:v>
      </x:c>
      <x:c r="D26" s="21" t="n">
        <x:v>1.99</x:v>
      </x:c>
      <x:c r="E26" s="21" t="n">
        <x:v>13.99</x:v>
      </x:c>
      <x:c r="F26" s="21" t="n">
        <x:v>27.99</x:v>
      </x:c>
      <x:c r="G26" s="26" t="n">
        <x:v>20.99</x:v>
      </x:c>
      <x:c r="H26" s="21" t="n">
        <x:v>67.99</x:v>
      </x:c>
      <x:c r="I26" s="21" t="n">
        <x:v>136.99</x:v>
      </x:c>
      <x:c r="J26" s="26" t="n">
        <x:f>ROUND(G26*12,2)</x:f>
        <x:v>251.88</x:v>
      </x:c>
      <x:c r="K26" s="21" t="n">
        <x:v>6.99</x:v>
      </x:c>
      <x:c r="L26" s="21" t="n">
        <x:v>3.49</x:v>
      </x:c>
      <x:c r="M26" s="21" t="n">
        <x:v>4.99</x:v>
      </x:c>
      <x:c r="N26" s="20" t="n">
        <x:f>'Pass测算'!J90</x:f>
        <x:v>0.7</x:v>
      </x:c>
      <x:c r="O26" s="18" t="str">
        <x:v>第1组</x:v>
      </x:c>
      <x:c r="P26" s="18" t="str">
        <x:v>Z080</x:v>
      </x:c>
      <x:c r="Q26" s="18" t="str">
        <x:v>已配置</x:v>
      </x:c>
      <x:c r="R26" s="28" t="n">
        <x:v>56.99</x:v>
      </x:c>
      <x:c r="S26" s="28" t="n">
        <x:v>272.99</x:v>
      </x:c>
    </x:row>
    <x:row r="27" ht="29" customHeight="1">
      <x:c r="A27" s="4" t="str">
        <x:v>爱尔兰</x:v>
      </x:c>
      <x:c r="B27" s="10" t="n">
        <x:v>1</x:v>
      </x:c>
      <x:c r="C27" s="13" t="str">
        <x:v>EUR</x:v>
      </x:c>
      <x:c r="D27" s="12" t="n">
        <x:v>2.49</x:v>
      </x:c>
      <x:c r="E27" s="12" t="n">
        <x:v>17.99</x:v>
      </x:c>
      <x:c r="F27" s="12" t="n">
        <x:v>35.99</x:v>
      </x:c>
      <x:c r="G27" s="23" t="n">
        <x:v>26.99</x:v>
      </x:c>
      <x:c r="H27" s="12" t="n">
        <x:v>84.99</x:v>
      </x:c>
      <x:c r="I27" s="12" t="n">
        <x:v>170.99</x:v>
      </x:c>
      <x:c r="J27" s="23" t="n">
        <x:f>ROUND(G27*12,2)</x:f>
        <x:v>323.88</x:v>
      </x:c>
      <x:c r="K27" s="12" t="n">
        <x:v>8.99</x:v>
      </x:c>
      <x:c r="L27" s="12" t="n">
        <x:v>4.49</x:v>
      </x:c>
      <x:c r="M27" s="12" t="n">
        <x:v>5.99</x:v>
      </x:c>
      <x:c r="N27" s="14" t="n">
        <x:f>'Pass测算'!J102</x:f>
        <x:v>0.87</x:v>
      </x:c>
      <x:c r="O27" s="13" t="str">
        <x:v>第2组</x:v>
      </x:c>
      <x:c r="P27" s="13" t="str">
        <x:v>Z100</x:v>
      </x:c>
      <x:c r="Q27" s="13" t="str">
        <x:v>已配置</x:v>
      </x:c>
      <x:c r="R27" s="28" t="n">
        <x:v>70.99</x:v>
      </x:c>
      <x:c r="S27" s="28" t="n">
        <x:v>340.99</x:v>
      </x:c>
    </x:row>
    <x:row r="28" ht="29" customHeight="1">
      <x:c r="A28" s="4" t="str">
        <x:v>日本</x:v>
      </x:c>
      <x:c r="B28" s="10" t="n">
        <x:v>0.65</x:v>
      </x:c>
      <x:c r="C28" s="13" t="str">
        <x:v>JPY</x:v>
      </x:c>
      <x:c r="D28" s="15" t="n">
        <x:v>298</x:v>
      </x:c>
      <x:c r="E28" s="15" t="n">
        <x:v>1980</x:v>
      </x:c>
      <x:c r="F28" s="15" t="n">
        <x:v>3980</x:v>
      </x:c>
      <x:c r="G28" s="24" t="n">
        <x:v>2980</x:v>
      </x:c>
      <x:c r="H28" s="15" t="n">
        <x:v>9480</x:v>
      </x:c>
      <x:c r="I28" s="15" t="n">
        <x:v>18980</x:v>
      </x:c>
      <x:c r="J28" s="24" t="n">
        <x:f>ROUND(G28*12,2)</x:f>
        <x:v>35760</x:v>
      </x:c>
      <x:c r="K28" s="15" t="n">
        <x:v>980</x:v>
      </x:c>
      <x:c r="L28" s="15" t="n">
        <x:v>498</x:v>
      </x:c>
      <x:c r="M28" s="15" t="n">
        <x:v>698</x:v>
      </x:c>
      <x:c r="N28" s="15" t="n">
        <x:f>'Pass测算'!J83</x:f>
        <x:v>99</x:v>
      </x:c>
      <x:c r="O28" s="13" t="str">
        <x:v>第2组</x:v>
      </x:c>
      <x:c r="P28" s="13" t="str">
        <x:v>Z065</x:v>
      </x:c>
      <x:c r="Q28" s="13" t="str">
        <x:v>已配置</x:v>
      </x:c>
      <x:c r="R28" s="29" t="n">
        <x:v>7980</x:v>
      </x:c>
      <x:c r="S28" s="29" t="n">
        <x:v>37980</x:v>
      </x:c>
    </x:row>
    <x:row r="29" ht="29" customHeight="1">
      <x:c r="A29" s="4" t="str">
        <x:v>肯尼亚</x:v>
      </x:c>
      <x:c r="B29" s="10" t="n">
        <x:v>0.25</x:v>
      </x:c>
      <x:c r="C29" s="13" t="str">
        <x:v>KES</x:v>
      </x:c>
      <x:c r="D29" s="15" t="n">
        <x:v>99</x:v>
      </x:c>
      <x:c r="E29" s="15" t="n">
        <x:v>649</x:v>
      </x:c>
      <x:c r="F29" s="15" t="n">
        <x:v>1299</x:v>
      </x:c>
      <x:c r="G29" s="24" t="n">
        <x:v>969</x:v>
      </x:c>
      <x:c r="H29" s="15" t="n">
        <x:v>3099</x:v>
      </x:c>
      <x:c r="I29" s="15" t="n">
        <x:v>6199</x:v>
      </x:c>
      <x:c r="J29" s="24" t="n">
        <x:f>ROUND(G29*12,2)</x:f>
        <x:v>11628</x:v>
      </x:c>
      <x:c r="K29" s="15" t="n">
        <x:v>329</x:v>
      </x:c>
      <x:c r="L29" s="15" t="n">
        <x:v>159</x:v>
      </x:c>
      <x:c r="M29" s="15" t="n">
        <x:v>229</x:v>
      </x:c>
      <x:c r="N29" s="15" t="n">
        <x:f>'Pass测算'!J24</x:f>
        <x:v>78</x:v>
      </x:c>
      <x:c r="O29" s="13" t="str">
        <x:v>第2组</x:v>
      </x:c>
      <x:c r="P29" s="13" t="str">
        <x:v>Z025</x:v>
      </x:c>
      <x:c r="Q29" s="13" t="str">
        <x:v>已配置</x:v>
      </x:c>
      <x:c r="R29" s="29" t="n">
        <x:v>2599</x:v>
      </x:c>
      <x:c r="S29" s="29" t="n">
        <x:v>12499</x:v>
      </x:c>
    </x:row>
    <x:row r="30" ht="29" customHeight="1">
      <x:c r="A30" s="4" t="str">
        <x:v>斯洛文尼亚</x:v>
      </x:c>
      <x:c r="B30" s="10" t="n">
        <x:v>0.6</x:v>
      </x:c>
      <x:c r="C30" s="13" t="str">
        <x:v>EUR</x:v>
      </x:c>
      <x:c r="D30" s="12" t="n">
        <x:v>1.49</x:v>
      </x:c>
      <x:c r="E30" s="12" t="n">
        <x:v>10.99</x:v>
      </x:c>
      <x:c r="F30" s="12" t="n">
        <x:v>20.99</x:v>
      </x:c>
      <x:c r="G30" s="23" t="n">
        <x:v>15.99</x:v>
      </x:c>
      <x:c r="H30" s="12" t="n">
        <x:v>51.99</x:v>
      </x:c>
      <x:c r="I30" s="12" t="n">
        <x:v>101.99</x:v>
      </x:c>
      <x:c r="J30" s="23" t="n">
        <x:f>ROUND(G30*12,2)</x:f>
        <x:v>191.88</x:v>
      </x:c>
      <x:c r="K30" s="12" t="n">
        <x:v>5.49</x:v>
      </x:c>
      <x:c r="L30" s="12" t="n">
        <x:v>2.49</x:v>
      </x:c>
      <x:c r="M30" s="12" t="n">
        <x:v>3.49</x:v>
      </x:c>
      <x:c r="N30" s="14" t="n">
        <x:f>'Pass测算'!J78</x:f>
        <x:v>0.53</x:v>
      </x:c>
      <x:c r="O30" s="13" t="str">
        <x:v>第2组</x:v>
      </x:c>
      <x:c r="P30" s="13" t="str">
        <x:v>Z060</x:v>
      </x:c>
      <x:c r="Q30" s="13" t="str">
        <x:v>已配置</x:v>
      </x:c>
      <x:c r="R30" s="28" t="n">
        <x:v>42.99</x:v>
      </x:c>
      <x:c r="S30" s="28" t="n">
        <x:v>204.99</x:v>
      </x:c>
    </x:row>
    <x:row r="31" ht="29" customHeight="1">
      <x:c r="A31" s="4" t="str">
        <x:v>阿尔及利亚</x:v>
      </x:c>
      <x:c r="B31" s="10" t="n">
        <x:v>0.3</x:v>
      </x:c>
      <x:c r="C31" s="13" t="str">
        <x:v>DZD</x:v>
      </x:c>
      <x:c r="D31" s="15" t="n">
        <x:v>119</x:v>
      </x:c>
      <x:c r="E31" s="15" t="n">
        <x:v>809</x:v>
      </x:c>
      <x:c r="F31" s="15" t="n">
        <x:v>1599</x:v>
      </x:c>
      <x:c r="G31" s="24" t="n">
        <x:v>1199</x:v>
      </x:c>
      <x:c r="H31" s="15" t="n">
        <x:v>3899</x:v>
      </x:c>
      <x:c r="I31" s="15" t="n">
        <x:v>7699</x:v>
      </x:c>
      <x:c r="J31" s="24" t="n">
        <x:f>ROUND(G31*12,2)</x:f>
        <x:v>14388</x:v>
      </x:c>
      <x:c r="K31" s="15" t="n">
        <x:v>399</x:v>
      </x:c>
      <x:c r="L31" s="15" t="n">
        <x:v>199</x:v>
      </x:c>
      <x:c r="M31" s="15" t="n">
        <x:v>279</x:v>
      </x:c>
      <x:c r="N31" s="15" t="n">
        <x:f>'Pass测算'!J32</x:f>
        <x:v>81</x:v>
      </x:c>
      <x:c r="O31" s="13" t="str">
        <x:v>第2组</x:v>
      </x:c>
      <x:c r="P31" s="13" t="str">
        <x:v>Z030</x:v>
      </x:c>
      <x:c r="Q31" s="13" t="str">
        <x:v>已配置</x:v>
      </x:c>
      <x:c r="R31" s="29" t="n">
        <x:v>3199</x:v>
      </x:c>
      <x:c r="S31" s="29" t="n">
        <x:v>15499</x:v>
      </x:c>
    </x:row>
    <x:row r="32" ht="29" customHeight="1">
      <x:c r="A32" s="4" t="str">
        <x:v>厄瓜多尔</x:v>
      </x:c>
      <x:c r="B32" s="10" t="n">
        <x:v>0.35</x:v>
      </x:c>
      <x:c r="C32" s="13" t="str">
        <x:v>USD</x:v>
      </x:c>
      <x:c r="D32" s="12" t="n">
        <x:v>0.99</x:v>
      </x:c>
      <x:c r="E32" s="12" t="n">
        <x:v>6.99</x:v>
      </x:c>
      <x:c r="F32" s="12" t="n">
        <x:v>13.99</x:v>
      </x:c>
      <x:c r="G32" s="23" t="n">
        <x:v>10.99</x:v>
      </x:c>
      <x:c r="H32" s="12" t="n">
        <x:v>33.99</x:v>
      </x:c>
      <x:c r="I32" s="12" t="n">
        <x:v>66.99</x:v>
      </x:c>
      <x:c r="J32" s="23" t="n">
        <x:f>ROUND(G32*12,2)</x:f>
        <x:v>131.88</x:v>
      </x:c>
      <x:c r="K32" s="12" t="n">
        <x:v>3.49</x:v>
      </x:c>
      <x:c r="L32" s="12" t="n">
        <x:v>1.79</x:v>
      </x:c>
      <x:c r="M32" s="12" t="n">
        <x:v>2.49</x:v>
      </x:c>
      <x:c r="N32" s="14" t="n">
        <x:f>'Pass测算'!J42</x:f>
        <x:v>0.6</x:v>
      </x:c>
      <x:c r="O32" s="13" t="str">
        <x:v>第2组</x:v>
      </x:c>
      <x:c r="P32" s="13" t="str">
        <x:v>Z035</x:v>
      </x:c>
      <x:c r="Q32" s="13" t="str">
        <x:v>已配置</x:v>
      </x:c>
      <x:c r="R32" s="28" t="n">
        <x:v>27.99</x:v>
      </x:c>
      <x:c r="S32" s="28" t="n">
        <x:v>133.99</x:v>
      </x:c>
    </x:row>
    <x:row r="33" ht="29" customHeight="1">
      <x:c r="A33" s="4" t="str">
        <x:v>中国澳门</x:v>
      </x:c>
      <x:c r="B33" s="10" t="n">
        <x:v>0.8</x:v>
      </x:c>
      <x:c r="C33" s="13" t="str">
        <x:v>MOP</x:v>
      </x:c>
      <x:c r="D33" s="15" t="n">
        <x:v>19</x:v>
      </x:c>
      <x:c r="E33" s="15" t="n">
        <x:v>129</x:v>
      </x:c>
      <x:c r="F33" s="15" t="n">
        <x:v>259</x:v>
      </x:c>
      <x:c r="G33" s="24" t="n">
        <x:v>199</x:v>
      </x:c>
      <x:c r="H33" s="15" t="n">
        <x:v>619</x:v>
      </x:c>
      <x:c r="I33" s="15" t="n">
        <x:v>1249</x:v>
      </x:c>
      <x:c r="J33" s="24" t="n">
        <x:f>ROUND(G33*12,2)</x:f>
        <x:v>2388</x:v>
      </x:c>
      <x:c r="K33" s="15" t="n">
        <x:v>65</x:v>
      </x:c>
      <x:c r="L33" s="15" t="n">
        <x:v>32</x:v>
      </x:c>
      <x:c r="M33" s="15" t="n">
        <x:v>45</x:v>
      </x:c>
      <x:c r="N33" s="14" t="n">
        <x:f>'Pass测算'!J91</x:f>
        <x:v>6.4</x:v>
      </x:c>
      <x:c r="O33" s="13" t="str">
        <x:v>第2组</x:v>
      </x:c>
      <x:c r="P33" s="13" t="str">
        <x:v>Z080</x:v>
      </x:c>
      <x:c r="Q33" s="13" t="str">
        <x:v>已配置</x:v>
      </x:c>
      <x:c r="R33" s="29" t="n">
        <x:v>519</x:v>
      </x:c>
      <x:c r="S33" s="29" t="n">
        <x:v>2489</x:v>
      </x:c>
    </x:row>
    <x:row r="34" ht="29" customHeight="1">
      <x:c r="A34" s="4" t="str">
        <x:v>新西兰</x:v>
      </x:c>
      <x:c r="B34" s="10" t="n">
        <x:v>0.85</x:v>
      </x:c>
      <x:c r="C34" s="13" t="str">
        <x:v>NZD</x:v>
      </x:c>
      <x:c r="D34" s="12" t="n">
        <x:v>4.49</x:v>
      </x:c>
      <x:c r="E34" s="12" t="n">
        <x:v>29.99</x:v>
      </x:c>
      <x:c r="F34" s="12" t="n">
        <x:v>59.99</x:v>
      </x:c>
      <x:c r="G34" s="23" t="n">
        <x:v>44.99</x:v>
      </x:c>
      <x:c r="H34" s="12" t="n">
        <x:v>143.99</x:v>
      </x:c>
      <x:c r="I34" s="12" t="n">
        <x:v>287.99</x:v>
      </x:c>
      <x:c r="J34" s="23" t="n">
        <x:f>ROUND(G34*12,2)</x:f>
        <x:v>539.88</x:v>
      </x:c>
      <x:c r="K34" s="12" t="n">
        <x:v>14.99</x:v>
      </x:c>
      <x:c r="L34" s="12" t="n">
        <x:v>7.49</x:v>
      </x:c>
      <x:c r="M34" s="12" t="n">
        <x:v>10.99</x:v>
      </x:c>
      <x:c r="N34" s="14" t="n">
        <x:f>'Pass测算'!J93</x:f>
        <x:v>1.5</x:v>
      </x:c>
      <x:c r="O34" s="13" t="str">
        <x:v>第2组</x:v>
      </x:c>
      <x:c r="P34" s="13" t="str">
        <x:v>Z085</x:v>
      </x:c>
      <x:c r="Q34" s="13" t="str">
        <x:v>已配置</x:v>
      </x:c>
      <x:c r="R34" s="28" t="n">
        <x:v>119.99</x:v>
      </x:c>
      <x:c r="S34" s="28" t="n">
        <x:v>576.99</x:v>
      </x:c>
    </x:row>
    <x:row r="35" ht="29" customHeight="1">
      <x:c r="A35" s="4" t="str">
        <x:v>荷兰</x:v>
      </x:c>
      <x:c r="B35" s="10" t="n">
        <x:v>0.85</x:v>
      </x:c>
      <x:c r="C35" s="13" t="str">
        <x:v>EUR</x:v>
      </x:c>
      <x:c r="D35" s="12" t="n">
        <x:v>2.29</x:v>
      </x:c>
      <x:c r="E35" s="12" t="n">
        <x:v>14.99</x:v>
      </x:c>
      <x:c r="F35" s="12" t="n">
        <x:v>29.99</x:v>
      </x:c>
      <x:c r="G35" s="23" t="n">
        <x:v>22.99</x:v>
      </x:c>
      <x:c r="H35" s="12" t="n">
        <x:v>71.99</x:v>
      </x:c>
      <x:c r="I35" s="12" t="n">
        <x:v>144.99</x:v>
      </x:c>
      <x:c r="J35" s="23" t="n">
        <x:f>ROUND(G35*12,2)</x:f>
        <x:v>275.88</x:v>
      </x:c>
      <x:c r="K35" s="12" t="n">
        <x:v>7.49</x:v>
      </x:c>
      <x:c r="L35" s="12" t="n">
        <x:v>3.99</x:v>
      </x:c>
      <x:c r="M35" s="12" t="n">
        <x:v>5.49</x:v>
      </x:c>
      <x:c r="N35" s="14" t="n">
        <x:f>'Pass测算'!J94</x:f>
        <x:v>0.74</x:v>
      </x:c>
      <x:c r="O35" s="13" t="str">
        <x:v>第2组</x:v>
      </x:c>
      <x:c r="P35" s="13" t="str">
        <x:v>Z085</x:v>
      </x:c>
      <x:c r="Q35" s="13" t="str">
        <x:v>已配置</x:v>
      </x:c>
      <x:c r="R35" s="28" t="n">
        <x:v>59.99</x:v>
      </x:c>
      <x:c r="S35" s="28" t="n">
        <x:v>289.99</x:v>
      </x:c>
    </x:row>
    <x:row r="36" ht="29" customHeight="1">
      <x:c r="A36" s="4" t="str">
        <x:v>突尼斯</x:v>
      </x:c>
      <x:c r="B36" s="10" t="n">
        <x:v>0.25</x:v>
      </x:c>
      <x:c r="C36" s="13" t="str">
        <x:v>USD</x:v>
      </x:c>
      <x:c r="D36" s="12" t="n">
        <x:v>0.79</x:v>
      </x:c>
      <x:c r="E36" s="12" t="n">
        <x:v>4.99</x:v>
      </x:c>
      <x:c r="F36" s="12" t="n">
        <x:v>9.99</x:v>
      </x:c>
      <x:c r="G36" s="23" t="n">
        <x:v>7.49</x:v>
      </x:c>
      <x:c r="H36" s="12" t="n">
        <x:v>23.99</x:v>
      </x:c>
      <x:c r="I36" s="12" t="n">
        <x:v>47.99</x:v>
      </x:c>
      <x:c r="J36" s="23" t="n">
        <x:f>ROUND(G36*12,2)</x:f>
        <x:v>89.88</x:v>
      </x:c>
      <x:c r="K36" s="12" t="n">
        <x:v>2.49</x:v>
      </x:c>
      <x:c r="L36" s="12" t="n">
        <x:v>1.29</x:v>
      </x:c>
      <x:c r="M36" s="12" t="n">
        <x:v>1.79</x:v>
      </x:c>
      <x:c r="N36" s="14" t="n">
        <x:f>'Pass测算'!J27</x:f>
        <x:v>0.6</x:v>
      </x:c>
      <x:c r="O36" s="13" t="str">
        <x:v>第2组</x:v>
      </x:c>
      <x:c r="P36" s="13" t="str">
        <x:v>Z025</x:v>
      </x:c>
      <x:c r="Q36" s="13" t="str">
        <x:v>USD替代已配置</x:v>
      </x:c>
      <x:c r="R36" s="28"/>
      <x:c r="S36" s="28"/>
    </x:row>
    <x:row r="37" ht="29" customHeight="1">
      <x:c r="A37" s="4" t="str">
        <x:v>博茨瓦纳</x:v>
      </x:c>
      <x:c r="B37" s="10" t="n">
        <x:v>0.35</x:v>
      </x:c>
      <x:c r="C37" s="13" t="str">
        <x:v>BWP</x:v>
      </x:c>
      <x:c r="D37" s="12" t="n">
        <x:v>14.99</x:v>
      </x:c>
      <x:c r="E37" s="12" t="n">
        <x:v>97.99</x:v>
      </x:c>
      <x:c r="F37" s="12" t="n">
        <x:v>195.99</x:v>
      </x:c>
      <x:c r="G37" s="23" t="n">
        <x:v>146.99</x:v>
      </x:c>
      <x:c r="H37" s="12" t="n">
        <x:v>470.99</x:v>
      </x:c>
      <x:c r="I37" s="12" t="n">
        <x:v>942.99</x:v>
      </x:c>
      <x:c r="J37" s="23" t="n">
        <x:f>ROUND(G37*12,2)</x:f>
        <x:v>1763.88</x:v>
      </x:c>
      <x:c r="K37" s="12" t="n">
        <x:v>48.99</x:v>
      </x:c>
      <x:c r="L37" s="12" t="n">
        <x:v>24.99</x:v>
      </x:c>
      <x:c r="M37" s="12" t="n">
        <x:v>33.99</x:v>
      </x:c>
      <x:c r="N37" s="14" t="n">
        <x:f>'Pass测算'!J43</x:f>
        <x:v>8.5</x:v>
      </x:c>
      <x:c r="O37" s="13" t="str">
        <x:v>第2组</x:v>
      </x:c>
      <x:c r="P37" s="13" t="str">
        <x:v>Z035</x:v>
      </x:c>
      <x:c r="Q37" s="13" t="str">
        <x:v>已配置</x:v>
      </x:c>
      <x:c r="R37" s="28" t="n">
        <x:v>392.99</x:v>
      </x:c>
      <x:c r="S37" s="28" t="n">
        <x:v>1885.99</x:v>
      </x:c>
    </x:row>
    <x:row r="38" ht="29" customHeight="1">
      <x:c r="A38" s="4" t="str">
        <x:v>加纳</x:v>
      </x:c>
      <x:c r="B38" s="10" t="n">
        <x:v>0.25</x:v>
      </x:c>
      <x:c r="C38" s="13" t="str">
        <x:v>USD</x:v>
      </x:c>
      <x:c r="D38" s="12" t="n">
        <x:v>0.79</x:v>
      </x:c>
      <x:c r="E38" s="12" t="n">
        <x:v>4.99</x:v>
      </x:c>
      <x:c r="F38" s="12" t="n">
        <x:v>9.99</x:v>
      </x:c>
      <x:c r="G38" s="23" t="n">
        <x:v>7.49</x:v>
      </x:c>
      <x:c r="H38" s="12" t="n">
        <x:v>23.99</x:v>
      </x:c>
      <x:c r="I38" s="12" t="n">
        <x:v>47.99</x:v>
      </x:c>
      <x:c r="J38" s="23" t="n">
        <x:f>ROUND(G38*12,2)</x:f>
        <x:v>89.88</x:v>
      </x:c>
      <x:c r="K38" s="12" t="n">
        <x:v>2.49</x:v>
      </x:c>
      <x:c r="L38" s="12" t="n">
        <x:v>1.29</x:v>
      </x:c>
      <x:c r="M38" s="12" t="n">
        <x:v>1.79</x:v>
      </x:c>
      <x:c r="N38" s="14" t="n">
        <x:f>'Pass测算'!J27</x:f>
        <x:v>0.6</x:v>
      </x:c>
      <x:c r="O38" s="13" t="str">
        <x:v>第2组</x:v>
      </x:c>
      <x:c r="P38" s="13" t="str">
        <x:v>Z025</x:v>
      </x:c>
      <x:c r="Q38" s="13" t="str">
        <x:v>USD替代已配置</x:v>
      </x:c>
      <x:c r="R38" s="28"/>
      <x:c r="S38" s="28"/>
    </x:row>
    <x:row r="39" ht="29" customHeight="1">
      <x:c r="A39" s="16" t="str">
        <x:v>意大利</x:v>
      </x:c>
      <x:c r="B39" s="17" t="n">
        <x:v>0.7</x:v>
      </x:c>
      <x:c r="C39" s="18" t="str">
        <x:v>EUR</x:v>
      </x:c>
      <x:c r="D39" s="21" t="n">
        <x:v>1.99</x:v>
      </x:c>
      <x:c r="E39" s="21" t="n">
        <x:v>11.99</x:v>
      </x:c>
      <x:c r="F39" s="21" t="n">
        <x:v>24.99</x:v>
      </x:c>
      <x:c r="G39" s="26" t="n">
        <x:v>18.99</x:v>
      </x:c>
      <x:c r="H39" s="21" t="n">
        <x:v>58.99</x:v>
      </x:c>
      <x:c r="I39" s="21" t="n">
        <x:v>118.99</x:v>
      </x:c>
      <x:c r="J39" s="26" t="n">
        <x:f>ROUND(G39*12,2)</x:f>
        <x:v>227.88</x:v>
      </x:c>
      <x:c r="K39" s="21" t="n">
        <x:v>5.99</x:v>
      </x:c>
      <x:c r="L39" s="21" t="n">
        <x:v>2.99</x:v>
      </x:c>
      <x:c r="M39" s="21" t="n">
        <x:v>4.49</x:v>
      </x:c>
      <x:c r="N39" s="20" t="n">
        <x:f>'Pass测算'!J86</x:f>
        <x:v>0.61</x:v>
      </x:c>
      <x:c r="O39" s="18" t="str">
        <x:v>第1组</x:v>
      </x:c>
      <x:c r="P39" s="18" t="str">
        <x:v>Z070</x:v>
      </x:c>
      <x:c r="Q39" s="18" t="str">
        <x:v>已配置</x:v>
      </x:c>
      <x:c r="R39" s="28" t="n">
        <x:v>49.99</x:v>
      </x:c>
      <x:c r="S39" s="28" t="n">
        <x:v>238.99</x:v>
      </x:c>
    </x:row>
    <x:row r="40" ht="29" customHeight="1">
      <x:c r="A40" s="4" t="str">
        <x:v>牙买加</x:v>
      </x:c>
      <x:c r="B40" s="10" t="n">
        <x:v>0.4</x:v>
      </x:c>
      <x:c r="C40" s="13" t="str">
        <x:v>JMD</x:v>
      </x:c>
      <x:c r="D40" s="15" t="n">
        <x:v>189</x:v>
      </x:c>
      <x:c r="E40" s="15" t="n">
        <x:v>1299</x:v>
      </x:c>
      <x:c r="F40" s="15" t="n">
        <x:v>2499</x:v>
      </x:c>
      <x:c r="G40" s="24" t="n">
        <x:v>1899</x:v>
      </x:c>
      <x:c r="H40" s="15" t="n">
        <x:v>6099</x:v>
      </x:c>
      <x:c r="I40" s="15" t="n">
        <x:v>11900</x:v>
      </x:c>
      <x:c r="J40" s="24" t="n">
        <x:f>ROUND(G40*12,2)</x:f>
        <x:v>22788</x:v>
      </x:c>
      <x:c r="K40" s="15" t="n">
        <x:v>629</x:v>
      </x:c>
      <x:c r="L40" s="15" t="n">
        <x:v>319</x:v>
      </x:c>
      <x:c r="M40" s="15" t="n">
        <x:v>439</x:v>
      </x:c>
      <x:c r="N40" s="15" t="n">
        <x:f>'Pass测算'!J52</x:f>
        <x:v>98</x:v>
      </x:c>
      <x:c r="O40" s="13" t="str">
        <x:v>第2组</x:v>
      </x:c>
      <x:c r="P40" s="13" t="str">
        <x:v>Z040</x:v>
      </x:c>
      <x:c r="Q40" s="13" t="str">
        <x:v>已配置</x:v>
      </x:c>
      <x:c r="R40" s="29" t="n">
        <x:v>5099</x:v>
      </x:c>
      <x:c r="S40" s="29" t="n">
        <x:v>23900</x:v>
      </x:c>
    </x:row>
    <x:row r="41" ht="29" customHeight="1">
      <x:c r="A41" s="4" t="str">
        <x:v>中国大陆</x:v>
      </x:c>
      <x:c r="B41" s="10" t="n">
        <x:v>0.45</x:v>
      </x:c>
      <x:c r="C41" s="13" t="str">
        <x:v>CNY</x:v>
      </x:c>
      <x:c r="D41" s="12" t="n">
        <x:v>8.99</x:v>
      </x:c>
      <x:c r="E41" s="12" t="n">
        <x:v>59.99</x:v>
      </x:c>
      <x:c r="F41" s="12" t="n">
        <x:v>120.99</x:v>
      </x:c>
      <x:c r="G41" s="23" t="n">
        <x:v>89.99</x:v>
      </x:c>
      <x:c r="H41" s="12" t="n">
        <x:v>288.99</x:v>
      </x:c>
      <x:c r="I41" s="12" t="n">
        <x:v>577.99</x:v>
      </x:c>
      <x:c r="J41" s="23" t="n">
        <x:f>ROUND(G41*12,2)</x:f>
        <x:v>1079.88</x:v>
      </x:c>
      <x:c r="K41" s="12" t="n">
        <x:v>29.99</x:v>
      </x:c>
      <x:c r="L41" s="12" t="n">
        <x:v>14.99</x:v>
      </x:c>
      <x:c r="M41" s="12" t="n">
        <x:v>20.99</x:v>
      </x:c>
      <x:c r="N41" s="14" t="n">
        <x:f>'Pass测算'!J61</x:f>
        <x:v>4.1</x:v>
      </x:c>
      <x:c r="O41" s="13" t="str">
        <x:v>第2组</x:v>
      </x:c>
      <x:c r="P41" s="13" t="str">
        <x:v>Z045</x:v>
      </x:c>
      <x:c r="Q41" s="13" t="str">
        <x:v>已配置</x:v>
      </x:c>
      <x:c r="R41" s="28" t="n">
        <x:v>240.99</x:v>
      </x:c>
      <x:c r="S41" s="28" t="n">
        <x:v>1156.99</x:v>
      </x:c>
    </x:row>
    <x:row r="42" ht="29" customHeight="1">
      <x:c r="A42" s="4" t="str">
        <x:v>马拉维</x:v>
      </x:c>
      <x:c r="B42" s="10" t="n">
        <x:v>0.2</x:v>
      </x:c>
      <x:c r="C42" s="13" t="str">
        <x:v>MWK</x:v>
      </x:c>
      <x:c r="D42" s="15" t="n">
        <x:v>999</x:v>
      </x:c>
      <x:c r="E42" s="15" t="n">
        <x:v>6999</x:v>
      </x:c>
      <x:c r="F42" s="15" t="n">
        <x:v>13900</x:v>
      </x:c>
      <x:c r="G42" s="24" t="n">
        <x:v>10900</x:v>
      </x:c>
      <x:c r="H42" s="15" t="n">
        <x:v>33900</x:v>
      </x:c>
      <x:c r="I42" s="15" t="n">
        <x:v>66900</x:v>
      </x:c>
      <x:c r="J42" s="24" t="n">
        <x:f>ROUND(G42*12,2)</x:f>
        <x:v>130800</x:v>
      </x:c>
      <x:c r="K42" s="15" t="n">
        <x:v>3499</x:v>
      </x:c>
      <x:c r="L42" s="15" t="n">
        <x:v>1699</x:v>
      </x:c>
      <x:c r="M42" s="15" t="n">
        <x:v>2399</x:v>
      </x:c>
      <x:c r="N42" s="15" t="n">
        <x:f>'Pass测算'!J8</x:f>
        <x:v>1100</x:v>
      </x:c>
      <x:c r="O42" s="13" t="str">
        <x:v>第2组</x:v>
      </x:c>
      <x:c r="P42" s="13" t="str">
        <x:v>Z020</x:v>
      </x:c>
      <x:c r="Q42" s="13" t="str">
        <x:v>已配置</x:v>
      </x:c>
      <x:c r="R42" s="29" t="n">
        <x:v>27900</x:v>
      </x:c>
      <x:c r="S42" s="29" t="n">
        <x:v>133900</x:v>
      </x:c>
    </x:row>
    <x:row r="43" ht="29" customHeight="1">
      <x:c r="A43" s="4" t="str">
        <x:v>摩洛哥</x:v>
      </x:c>
      <x:c r="B43" s="10" t="n">
        <x:v>0.3</x:v>
      </x:c>
      <x:c r="C43" s="13" t="str">
        <x:v>MAD</x:v>
      </x:c>
      <x:c r="D43" s="12" t="n">
        <x:v>8.99</x:v>
      </x:c>
      <x:c r="E43" s="12" t="n">
        <x:v>58.99</x:v>
      </x:c>
      <x:c r="F43" s="12" t="n">
        <x:v>117.99</x:v>
      </x:c>
      <x:c r="G43" s="23" t="n">
        <x:v>87.99</x:v>
      </x:c>
      <x:c r="H43" s="12" t="n">
        <x:v>281.99</x:v>
      </x:c>
      <x:c r="I43" s="12" t="n">
        <x:v>564.99</x:v>
      </x:c>
      <x:c r="J43" s="23" t="n">
        <x:f>ROUND(G43*12,2)</x:f>
        <x:v>1055.88</x:v>
      </x:c>
      <x:c r="K43" s="12" t="n">
        <x:v>28.99</x:v>
      </x:c>
      <x:c r="L43" s="12" t="n">
        <x:v>14.99</x:v>
      </x:c>
      <x:c r="M43" s="12" t="n">
        <x:v>20.99</x:v>
      </x:c>
      <x:c r="N43" s="15" t="n">
        <x:f>'Pass测算'!J33</x:f>
        <x:v>6</x:v>
      </x:c>
      <x:c r="O43" s="13" t="str">
        <x:v>第2组</x:v>
      </x:c>
      <x:c r="P43" s="13" t="str">
        <x:v>Z030</x:v>
      </x:c>
      <x:c r="Q43" s="13" t="str">
        <x:v>已配置</x:v>
      </x:c>
      <x:c r="R43" s="28" t="n">
        <x:v>234.99</x:v>
      </x:c>
      <x:c r="S43" s="28" t="n">
        <x:v>1128.99</x:v>
      </x:c>
    </x:row>
    <x:row r="44" ht="29" customHeight="1">
      <x:c r="A44" s="4" t="str">
        <x:v>纳米比亚</x:v>
      </x:c>
      <x:c r="B44" s="10" t="n">
        <x:v>0.3</x:v>
      </x:c>
      <x:c r="C44" s="13" t="str">
        <x:v>NAD</x:v>
      </x:c>
      <x:c r="D44" s="12" t="n">
        <x:v>14.99</x:v>
      </x:c>
      <x:c r="E44" s="12" t="n">
        <x:v>98.99</x:v>
      </x:c>
      <x:c r="F44" s="12" t="n">
        <x:v>197.99</x:v>
      </x:c>
      <x:c r="G44" s="23" t="n">
        <x:v>147.99</x:v>
      </x:c>
      <x:c r="H44" s="12" t="n">
        <x:v>473.99</x:v>
      </x:c>
      <x:c r="I44" s="12" t="n">
        <x:v>947.99</x:v>
      </x:c>
      <x:c r="J44" s="23" t="n">
        <x:f>ROUND(G44*12,2)</x:f>
        <x:v>1775.88</x:v>
      </x:c>
      <x:c r="K44" s="12" t="n">
        <x:v>48.99</x:v>
      </x:c>
      <x:c r="L44" s="12" t="n">
        <x:v>24.99</x:v>
      </x:c>
      <x:c r="M44" s="12" t="n">
        <x:v>34.99</x:v>
      </x:c>
      <x:c r="N44" s="15" t="n">
        <x:f>'Pass测算'!J34</x:f>
        <x:v>10</x:v>
      </x:c>
      <x:c r="O44" s="13" t="str">
        <x:v>第2组</x:v>
      </x:c>
      <x:c r="P44" s="13" t="str">
        <x:v>Z030</x:v>
      </x:c>
      <x:c r="Q44" s="13" t="str">
        <x:v>已配置</x:v>
      </x:c>
      <x:c r="R44" s="28" t="n">
        <x:v>394.99</x:v>
      </x:c>
      <x:c r="S44" s="28" t="n">
        <x:v>1896.99</x:v>
      </x:c>
    </x:row>
    <x:row r="45" ht="29" customHeight="1">
      <x:c r="A45" s="4" t="str">
        <x:v>秘鲁</x:v>
      </x:c>
      <x:c r="B45" s="10" t="n">
        <x:v>0.4</x:v>
      </x:c>
      <x:c r="C45" s="13" t="str">
        <x:v>PEN</x:v>
      </x:c>
      <x:c r="D45" s="12" t="n">
        <x:v>3.99</x:v>
      </x:c>
      <x:c r="E45" s="12" t="n">
        <x:v>26.99</x:v>
      </x:c>
      <x:c r="F45" s="12" t="n">
        <x:v>54.99</x:v>
      </x:c>
      <x:c r="G45" s="23" t="n">
        <x:v>40.99</x:v>
      </x:c>
      <x:c r="H45" s="12" t="n">
        <x:v>131.99</x:v>
      </x:c>
      <x:c r="I45" s="12" t="n">
        <x:v>263.99</x:v>
      </x:c>
      <x:c r="J45" s="23" t="n">
        <x:f>ROUND(G45*12,2)</x:f>
        <x:v>491.88</x:v>
      </x:c>
      <x:c r="K45" s="12" t="n">
        <x:v>13.99</x:v>
      </x:c>
      <x:c r="L45" s="12" t="n">
        <x:v>6.99</x:v>
      </x:c>
      <x:c r="M45" s="12" t="n">
        <x:v>9.49</x:v>
      </x:c>
      <x:c r="N45" s="14" t="n">
        <x:f>'Pass测算'!J53</x:f>
        <x:v>2.1</x:v>
      </x:c>
      <x:c r="O45" s="13" t="str">
        <x:v>第2组</x:v>
      </x:c>
      <x:c r="P45" s="13" t="str">
        <x:v>Z040</x:v>
      </x:c>
      <x:c r="Q45" s="13" t="str">
        <x:v>已配置</x:v>
      </x:c>
      <x:c r="R45" s="28" t="n">
        <x:v>109.99</x:v>
      </x:c>
      <x:c r="S45" s="28" t="n">
        <x:v>526.99</x:v>
      </x:c>
    </x:row>
    <x:row r="46" ht="29" customHeight="1">
      <x:c r="A46" s="4" t="str">
        <x:v>乌克兰</x:v>
      </x:c>
      <x:c r="B46" s="10" t="n">
        <x:v>0.25</x:v>
      </x:c>
      <x:c r="C46" s="13" t="str">
        <x:v>UAH</x:v>
      </x:c>
      <x:c r="D46" s="15" t="n">
        <x:v>34</x:v>
      </x:c>
      <x:c r="E46" s="15" t="n">
        <x:v>229</x:v>
      </x:c>
      <x:c r="F46" s="15" t="n">
        <x:v>449</x:v>
      </x:c>
      <x:c r="G46" s="24" t="n">
        <x:v>339</x:v>
      </x:c>
      <x:c r="H46" s="15" t="n">
        <x:v>1099</x:v>
      </x:c>
      <x:c r="I46" s="15" t="n">
        <x:v>2199</x:v>
      </x:c>
      <x:c r="J46" s="24" t="n">
        <x:f>ROUND(G46*12,2)</x:f>
        <x:v>4068</x:v>
      </x:c>
      <x:c r="K46" s="15" t="n">
        <x:v>109</x:v>
      </x:c>
      <x:c r="L46" s="15" t="n">
        <x:v>59</x:v>
      </x:c>
      <x:c r="M46" s="15" t="n">
        <x:v>79</x:v>
      </x:c>
      <x:c r="N46" s="15" t="n">
        <x:f>'Pass测算'!J25</x:f>
        <x:v>28</x:v>
      </x:c>
      <x:c r="O46" s="13" t="str">
        <x:v>第2组</x:v>
      </x:c>
      <x:c r="P46" s="13" t="str">
        <x:v>Z025</x:v>
      </x:c>
      <x:c r="Q46" s="13" t="str">
        <x:v>已配置</x:v>
      </x:c>
      <x:c r="R46" s="29" t="n">
        <x:v>899</x:v>
      </x:c>
      <x:c r="S46" s="29" t="n">
        <x:v>4299</x:v>
      </x:c>
    </x:row>
    <x:row r="47" ht="29" customHeight="1">
      <x:c r="A47" s="4" t="str">
        <x:v>阿联酋</x:v>
      </x:c>
      <x:c r="B47" s="10" t="n">
        <x:v>0.75</x:v>
      </x:c>
      <x:c r="C47" s="13" t="str">
        <x:v>AED</x:v>
      </x:c>
      <x:c r="D47" s="12" t="n">
        <x:v>7.99</x:v>
      </x:c>
      <x:c r="E47" s="12" t="n">
        <x:v>54.99</x:v>
      </x:c>
      <x:c r="F47" s="12" t="n">
        <x:v>109.99</x:v>
      </x:c>
      <x:c r="G47" s="23" t="n">
        <x:v>82.99</x:v>
      </x:c>
      <x:c r="H47" s="12" t="n">
        <x:v>263.99</x:v>
      </x:c>
      <x:c r="I47" s="12" t="n">
        <x:v>528.99</x:v>
      </x:c>
      <x:c r="J47" s="23" t="n">
        <x:f>ROUND(G47*12,2)</x:f>
        <x:v>995.88</x:v>
      </x:c>
      <x:c r="K47" s="12" t="n">
        <x:v>27.99</x:v>
      </x:c>
      <x:c r="L47" s="12" t="n">
        <x:v>13.99</x:v>
      </x:c>
      <x:c r="M47" s="12" t="n">
        <x:v>18.99</x:v>
      </x:c>
      <x:c r="N47" s="14" t="n">
        <x:f>'Pass测算'!J87</x:f>
        <x:v>2.8</x:v>
      </x:c>
      <x:c r="O47" s="13" t="str">
        <x:v>第2组</x:v>
      </x:c>
      <x:c r="P47" s="13" t="str">
        <x:v>Z075</x:v>
      </x:c>
      <x:c r="Q47" s="13" t="str">
        <x:v>已配置</x:v>
      </x:c>
      <x:c r="R47" s="28" t="n">
        <x:v>219.99</x:v>
      </x:c>
      <x:c r="S47" s="28" t="n">
        <x:v>1056.99</x:v>
      </x:c>
    </x:row>
    <x:row r="48" ht="29" customHeight="1">
      <x:c r="A48" s="4" t="str">
        <x:v>津巴布韦</x:v>
      </x:c>
      <x:c r="B48" s="10" t="n">
        <x:v>0.2</x:v>
      </x:c>
      <x:c r="C48" s="13" t="str">
        <x:v>USD</x:v>
      </x:c>
      <x:c r="D48" s="12" t="n">
        <x:v>0.59</x:v>
      </x:c>
      <x:c r="E48" s="12" t="n">
        <x:v>3.99</x:v>
      </x:c>
      <x:c r="F48" s="12" t="n">
        <x:v>7.99</x:v>
      </x:c>
      <x:c r="G48" s="23" t="n">
        <x:v>5.99</x:v>
      </x:c>
      <x:c r="H48" s="12" t="n">
        <x:v>18.99</x:v>
      </x:c>
      <x:c r="I48" s="12" t="n">
        <x:v>37.99</x:v>
      </x:c>
      <x:c r="J48" s="23" t="n">
        <x:f>ROUND(G48*12,2)</x:f>
        <x:v>71.88</x:v>
      </x:c>
      <x:c r="K48" s="12" t="n">
        <x:v>1.99</x:v>
      </x:c>
      <x:c r="L48" s="12" t="n">
        <x:v>0.99</x:v>
      </x:c>
      <x:c r="M48" s="12" t="n">
        <x:v>1.49</x:v>
      </x:c>
      <x:c r="N48" s="14" t="n">
        <x:f>'Pass测算'!J9</x:f>
        <x:v>0.6</x:v>
      </x:c>
      <x:c r="O48" s="13" t="str">
        <x:v>第2组</x:v>
      </x:c>
      <x:c r="P48" s="13" t="str">
        <x:v>Z020</x:v>
      </x:c>
      <x:c r="Q48" s="13" t="str">
        <x:v>已配置</x:v>
      </x:c>
      <x:c r="R48" s="28" t="n">
        <x:v>15.99</x:v>
      </x:c>
      <x:c r="S48" s="28" t="n">
        <x:v>76.99</x:v>
      </x:c>
    </x:row>
    <x:row r="49" ht="29" customHeight="1">
      <x:c r="A49" s="4" t="str">
        <x:v>圭亚那</x:v>
      </x:c>
      <x:c r="B49" s="10" t="n">
        <x:v>0.55</x:v>
      </x:c>
      <x:c r="C49" s="13" t="str">
        <x:v>GYD</x:v>
      </x:c>
      <x:c r="D49" s="15" t="n">
        <x:v>349</x:v>
      </x:c>
      <x:c r="E49" s="15" t="n">
        <x:v>2299</x:v>
      </x:c>
      <x:c r="F49" s="15" t="n">
        <x:v>4599</x:v>
      </x:c>
      <x:c r="G49" s="24" t="n">
        <x:v>3499</x:v>
      </x:c>
      <x:c r="H49" s="15" t="n">
        <x:v>10900</x:v>
      </x:c>
      <x:c r="I49" s="15" t="n">
        <x:v>21900</x:v>
      </x:c>
      <x:c r="J49" s="24" t="n">
        <x:f>ROUND(G49*12,2)</x:f>
        <x:v>41988</x:v>
      </x:c>
      <x:c r="K49" s="15" t="n">
        <x:v>1199</x:v>
      </x:c>
      <x:c r="L49" s="15" t="n">
        <x:v>579</x:v>
      </x:c>
      <x:c r="M49" s="15" t="n">
        <x:v>809</x:v>
      </x:c>
      <x:c r="N49" s="15" t="n">
        <x:f>'Pass测算'!J73</x:f>
        <x:v>130</x:v>
      </x:c>
      <x:c r="O49" s="13" t="str">
        <x:v>第2组</x:v>
      </x:c>
      <x:c r="P49" s="13" t="str">
        <x:v>Z055</x:v>
      </x:c>
      <x:c r="Q49" s="13" t="str">
        <x:v>已配置</x:v>
      </x:c>
      <x:c r="R49" s="29" t="n">
        <x:v>9199</x:v>
      </x:c>
      <x:c r="S49" s="29" t="n">
        <x:v>43900</x:v>
      </x:c>
    </x:row>
    <x:row r="50" ht="29" customHeight="1">
      <x:c r="A50" s="4" t="str">
        <x:v>巴勒斯坦</x:v>
      </x:c>
      <x:c r="B50" s="10" t="n">
        <x:v>0.2</x:v>
      </x:c>
      <x:c r="C50" s="13" t="str">
        <x:v>ILS</x:v>
      </x:c>
      <x:c r="D50" s="12" t="n">
        <x:v>1.99</x:v>
      </x:c>
      <x:c r="E50" s="12" t="n">
        <x:v>11.99</x:v>
      </x:c>
      <x:c r="F50" s="12" t="n">
        <x:v>24.99</x:v>
      </x:c>
      <x:c r="G50" s="23" t="n">
        <x:v>18.99</x:v>
      </x:c>
      <x:c r="H50" s="12" t="n">
        <x:v>58.99</x:v>
      </x:c>
      <x:c r="I50" s="12" t="n">
        <x:v>118.99</x:v>
      </x:c>
      <x:c r="J50" s="23" t="n">
        <x:f>ROUND(G50*12,2)</x:f>
        <x:v>227.88</x:v>
      </x:c>
      <x:c r="K50" s="12" t="n">
        <x:v>5.99</x:v>
      </x:c>
      <x:c r="L50" s="12" t="n">
        <x:v>2.99</x:v>
      </x:c>
      <x:c r="M50" s="12" t="n">
        <x:v>4.49</x:v>
      </x:c>
      <x:c r="N50" s="14" t="n">
        <x:f>'Pass测算'!J10</x:f>
        <x:v>1.8</x:v>
      </x:c>
      <x:c r="O50" s="13" t="str">
        <x:v>第2组</x:v>
      </x:c>
      <x:c r="P50" s="13" t="str">
        <x:v>Z020</x:v>
      </x:c>
      <x:c r="Q50" s="13" t="str">
        <x:v>已配置</x:v>
      </x:c>
      <x:c r="R50" s="28" t="n">
        <x:v>49.99</x:v>
      </x:c>
      <x:c r="S50" s="28" t="n">
        <x:v>237.99</x:v>
      </x:c>
    </x:row>
    <x:row r="51" ht="29" customHeight="1">
      <x:c r="A51" s="4" t="str">
        <x:v>罗马尼亚</x:v>
      </x:c>
      <x:c r="B51" s="10" t="n">
        <x:v>0.45</x:v>
      </x:c>
      <x:c r="C51" s="13" t="str">
        <x:v>RON</x:v>
      </x:c>
      <x:c r="D51" s="12" t="n">
        <x:v>6.49</x:v>
      </x:c>
      <x:c r="E51" s="12" t="n">
        <x:v>42.99</x:v>
      </x:c>
      <x:c r="F51" s="12" t="n">
        <x:v>84.99</x:v>
      </x:c>
      <x:c r="G51" s="23" t="n">
        <x:v>63.99</x:v>
      </x:c>
      <x:c r="H51" s="12" t="n">
        <x:v>204.99</x:v>
      </x:c>
      <x:c r="I51" s="12" t="n">
        <x:v>408.99</x:v>
      </x:c>
      <x:c r="J51" s="23" t="n">
        <x:f>ROUND(G51*12,2)</x:f>
        <x:v>767.88</x:v>
      </x:c>
      <x:c r="K51" s="12" t="n">
        <x:v>20.99</x:v>
      </x:c>
      <x:c r="L51" s="12" t="n">
        <x:v>10.99</x:v>
      </x:c>
      <x:c r="M51" s="12" t="n">
        <x:v>14.99</x:v>
      </x:c>
      <x:c r="N51" s="14" t="n">
        <x:f>'Pass测算'!J62</x:f>
        <x:v>2.9</x:v>
      </x:c>
      <x:c r="O51" s="13" t="str">
        <x:v>第2组</x:v>
      </x:c>
      <x:c r="P51" s="13" t="str">
        <x:v>Z045</x:v>
      </x:c>
      <x:c r="Q51" s="13" t="str">
        <x:v>已配置</x:v>
      </x:c>
      <x:c r="R51" s="28" t="n">
        <x:v>170.99</x:v>
      </x:c>
      <x:c r="S51" s="28" t="n">
        <x:v>818.99</x:v>
      </x:c>
    </x:row>
    <x:row r="52" ht="29" customHeight="1">
      <x:c r="A52" s="4" t="str">
        <x:v>卢旺达</x:v>
      </x:c>
      <x:c r="B52" s="10" t="n">
        <x:v>0.2</x:v>
      </x:c>
      <x:c r="C52" s="13" t="str">
        <x:v>RWF</x:v>
      </x:c>
      <x:c r="D52" s="15" t="n">
        <x:v>889</x:v>
      </x:c>
      <x:c r="E52" s="15" t="n">
        <x:v>5899</x:v>
      </x:c>
      <x:c r="F52" s="15" t="n">
        <x:v>11900</x:v>
      </x:c>
      <x:c r="G52" s="24" t="n">
        <x:v>8899</x:v>
      </x:c>
      <x:c r="H52" s="15" t="n">
        <x:v>27900</x:v>
      </x:c>
      <x:c r="I52" s="15" t="n">
        <x:v>56900</x:v>
      </x:c>
      <x:c r="J52" s="24" t="n">
        <x:f>ROUND(G52*12,2)</x:f>
        <x:v>106788</x:v>
      </x:c>
      <x:c r="K52" s="15" t="n">
        <x:v>2999</x:v>
      </x:c>
      <x:c r="L52" s="15" t="n">
        <x:v>1499</x:v>
      </x:c>
      <x:c r="M52" s="15" t="n">
        <x:v>2099</x:v>
      </x:c>
      <x:c r="N52" s="15" t="n">
        <x:f>'Pass测算'!J11</x:f>
        <x:v>890</x:v>
      </x:c>
      <x:c r="O52" s="13" t="str">
        <x:v>第2组</x:v>
      </x:c>
      <x:c r="P52" s="13" t="str">
        <x:v>Z020</x:v>
      </x:c>
      <x:c r="Q52" s="13" t="str">
        <x:v>已配置</x:v>
      </x:c>
      <x:c r="R52" s="29" t="n">
        <x:v>23900</x:v>
      </x:c>
      <x:c r="S52" s="29" t="n">
        <x:v>113900</x:v>
      </x:c>
    </x:row>
    <x:row r="53" ht="29" customHeight="1">
      <x:c r="A53" s="4" t="str">
        <x:v>沙特阿拉伯</x:v>
      </x:c>
      <x:c r="B53" s="10" t="n">
        <x:v>0.6</x:v>
      </x:c>
      <x:c r="C53" s="13" t="str">
        <x:v>SAR</x:v>
      </x:c>
      <x:c r="D53" s="12" t="n">
        <x:v>6.49</x:v>
      </x:c>
      <x:c r="E53" s="12" t="n">
        <x:v>44.99</x:v>
      </x:c>
      <x:c r="F53" s="12" t="n">
        <x:v>89.99</x:v>
      </x:c>
      <x:c r="G53" s="23" t="n">
        <x:v>66.99</x:v>
      </x:c>
      <x:c r="H53" s="12" t="n">
        <x:v>215.99</x:v>
      </x:c>
      <x:c r="I53" s="12" t="n">
        <x:v>431.99</x:v>
      </x:c>
      <x:c r="J53" s="23" t="n">
        <x:f>ROUND(G53*12,2)</x:f>
        <x:v>803.88</x:v>
      </x:c>
      <x:c r="K53" s="12" t="n">
        <x:v>21.99</x:v>
      </x:c>
      <x:c r="L53" s="12" t="n">
        <x:v>10.99</x:v>
      </x:c>
      <x:c r="M53" s="12" t="n">
        <x:v>15.99</x:v>
      </x:c>
      <x:c r="N53" s="14" t="n">
        <x:f>'Pass测算'!J79</x:f>
        <x:v>2.3</x:v>
      </x:c>
      <x:c r="O53" s="13" t="str">
        <x:v>第2组</x:v>
      </x:c>
      <x:c r="P53" s="13" t="str">
        <x:v>Z060</x:v>
      </x:c>
      <x:c r="Q53" s="13" t="str">
        <x:v>已配置</x:v>
      </x:c>
      <x:c r="R53" s="28" t="n">
        <x:v>179.99</x:v>
      </x:c>
      <x:c r="S53" s="28" t="n">
        <x:v>863.99</x:v>
      </x:c>
    </x:row>
    <x:row r="54" ht="29" customHeight="1">
      <x:c r="A54" s="4" t="str">
        <x:v>乌拉圭</x:v>
      </x:c>
      <x:c r="B54" s="10" t="n">
        <x:v>0.6</x:v>
      </x:c>
      <x:c r="C54" s="13" t="str">
        <x:v>UYU</x:v>
      </x:c>
      <x:c r="D54" s="15" t="n">
        <x:v>69</x:v>
      </x:c>
      <x:c r="E54" s="15" t="n">
        <x:v>479</x:v>
      </x:c>
      <x:c r="F54" s="15" t="n">
        <x:v>969</x:v>
      </x:c>
      <x:c r="G54" s="24" t="n">
        <x:v>719</x:v>
      </x:c>
      <x:c r="H54" s="15" t="n">
        <x:v>2299</x:v>
      </x:c>
      <x:c r="I54" s="15" t="n">
        <x:v>4599</x:v>
      </x:c>
      <x:c r="J54" s="24" t="n">
        <x:f>ROUND(G54*12,2)</x:f>
        <x:v>8628</x:v>
      </x:c>
      <x:c r="K54" s="15" t="n">
        <x:v>239</x:v>
      </x:c>
      <x:c r="L54" s="15" t="n">
        <x:v>119</x:v>
      </x:c>
      <x:c r="M54" s="15" t="n">
        <x:v>169</x:v>
      </x:c>
      <x:c r="N54" s="15" t="n">
        <x:f>'Pass测算'!J80</x:f>
        <x:v>24</x:v>
      </x:c>
      <x:c r="O54" s="13" t="str">
        <x:v>第2组</x:v>
      </x:c>
      <x:c r="P54" s="13" t="str">
        <x:v>Z060</x:v>
      </x:c>
      <x:c r="Q54" s="13" t="str">
        <x:v>已配置</x:v>
      </x:c>
      <x:c r="R54" s="29" t="n">
        <x:v>1899</x:v>
      </x:c>
      <x:c r="S54" s="29" t="n">
        <x:v>9299</x:v>
      </x:c>
    </x:row>
    <x:row r="55" ht="29" customHeight="1">
      <x:c r="A55" s="4" t="str">
        <x:v>阿塞拜疆</x:v>
      </x:c>
      <x:c r="B55" s="10" t="n">
        <x:v>0.3</x:v>
      </x:c>
      <x:c r="C55" s="13" t="str">
        <x:v>AZN</x:v>
      </x:c>
      <x:c r="D55" s="12" t="n">
        <x:v>1.49</x:v>
      </x:c>
      <x:c r="E55" s="12" t="n">
        <x:v>9.99</x:v>
      </x:c>
      <x:c r="F55" s="12" t="n">
        <x:v>19.99</x:v>
      </x:c>
      <x:c r="G55" s="23" t="n">
        <x:v>14.99</x:v>
      </x:c>
      <x:c r="H55" s="12" t="n">
        <x:v>48.99</x:v>
      </x:c>
      <x:c r="I55" s="12" t="n">
        <x:v>97.99</x:v>
      </x:c>
      <x:c r="J55" s="23" t="n">
        <x:f>ROUND(G55*12,2)</x:f>
        <x:v>179.88</x:v>
      </x:c>
      <x:c r="K55" s="12" t="n">
        <x:v>4.99</x:v>
      </x:c>
      <x:c r="L55" s="12" t="n">
        <x:v>2.49</x:v>
      </x:c>
      <x:c r="M55" s="12" t="n">
        <x:v>3.49</x:v>
      </x:c>
      <x:c r="N55" s="15" t="n">
        <x:f>'Pass测算'!J35</x:f>
        <x:v>1</x:v>
      </x:c>
      <x:c r="O55" s="13" t="str">
        <x:v>第2组</x:v>
      </x:c>
      <x:c r="P55" s="13" t="str">
        <x:v>Z030</x:v>
      </x:c>
      <x:c r="Q55" s="13" t="str">
        <x:v>已配置</x:v>
      </x:c>
      <x:c r="R55" s="28" t="n">
        <x:v>40.99</x:v>
      </x:c>
      <x:c r="S55" s="28" t="n">
        <x:v>195.99</x:v>
      </x:c>
    </x:row>
    <x:row r="56" ht="29" customHeight="1">
      <x:c r="A56" s="4" t="str">
        <x:v>巴哈马</x:v>
      </x:c>
      <x:c r="B56" s="10" t="n">
        <x:v>0.85</x:v>
      </x:c>
      <x:c r="C56" s="13" t="str">
        <x:v>BSD</x:v>
      </x:c>
      <x:c r="D56" s="12" t="n">
        <x:v>2.49</x:v>
      </x:c>
      <x:c r="E56" s="12" t="n">
        <x:v>16.99</x:v>
      </x:c>
      <x:c r="F56" s="12" t="n">
        <x:v>33.99</x:v>
      </x:c>
      <x:c r="G56" s="23" t="n">
        <x:v>25.99</x:v>
      </x:c>
      <x:c r="H56" s="12" t="n">
        <x:v>81.99</x:v>
      </x:c>
      <x:c r="I56" s="12" t="n">
        <x:v>162.99</x:v>
      </x:c>
      <x:c r="J56" s="23" t="n">
        <x:f>ROUND(G56*12,2)</x:f>
        <x:v>311.88</x:v>
      </x:c>
      <x:c r="K56" s="12" t="n">
        <x:v>8.49</x:v>
      </x:c>
      <x:c r="L56" s="12" t="n">
        <x:v>3.99</x:v>
      </x:c>
      <x:c r="M56" s="12" t="n">
        <x:v>5.99</x:v>
      </x:c>
      <x:c r="N56" s="14" t="n">
        <x:f>'Pass测算'!J95</x:f>
        <x:v>0.85</x:v>
      </x:c>
      <x:c r="O56" s="13" t="str">
        <x:v>第2组</x:v>
      </x:c>
      <x:c r="P56" s="13" t="str">
        <x:v>Z085</x:v>
      </x:c>
      <x:c r="Q56" s="13" t="str">
        <x:v>已配置</x:v>
      </x:c>
      <x:c r="R56" s="28" t="n">
        <x:v>67.99</x:v>
      </x:c>
      <x:c r="S56" s="28" t="n">
        <x:v>325.99</x:v>
      </x:c>
    </x:row>
    <x:row r="57" ht="29" customHeight="1">
      <x:c r="A57" s="4" t="str">
        <x:v>伯利兹</x:v>
      </x:c>
      <x:c r="B57" s="10" t="n">
        <x:v>0.4</x:v>
      </x:c>
      <x:c r="C57" s="13" t="str">
        <x:v>BZD</x:v>
      </x:c>
      <x:c r="D57" s="12" t="n">
        <x:v>2.49</x:v>
      </x:c>
      <x:c r="E57" s="12" t="n">
        <x:v>15.99</x:v>
      </x:c>
      <x:c r="F57" s="12" t="n">
        <x:v>31.99</x:v>
      </x:c>
      <x:c r="G57" s="23" t="n">
        <x:v>23.99</x:v>
      </x:c>
      <x:c r="H57" s="12" t="n">
        <x:v>76.99</x:v>
      </x:c>
      <x:c r="I57" s="12" t="n">
        <x:v>153.99</x:v>
      </x:c>
      <x:c r="J57" s="23" t="n">
        <x:f>ROUND(G57*12,2)</x:f>
        <x:v>287.88</x:v>
      </x:c>
      <x:c r="K57" s="12" t="n">
        <x:v>7.99</x:v>
      </x:c>
      <x:c r="L57" s="12" t="n">
        <x:v>3.99</x:v>
      </x:c>
      <x:c r="M57" s="12" t="n">
        <x:v>5.49</x:v>
      </x:c>
      <x:c r="N57" s="14" t="n">
        <x:f>'Pass测算'!J54</x:f>
        <x:v>1.2</x:v>
      </x:c>
      <x:c r="O57" s="13" t="str">
        <x:v>第2组</x:v>
      </x:c>
      <x:c r="P57" s="13" t="str">
        <x:v>Z040</x:v>
      </x:c>
      <x:c r="Q57" s="13" t="str">
        <x:v>已配置</x:v>
      </x:c>
      <x:c r="R57" s="28" t="n">
        <x:v>63.99</x:v>
      </x:c>
      <x:c r="S57" s="28" t="n">
        <x:v>306.99</x:v>
      </x:c>
    </x:row>
    <x:row r="58" ht="29" customHeight="1">
      <x:c r="A58" s="4" t="str">
        <x:v>玻利维亚</x:v>
      </x:c>
      <x:c r="B58" s="10" t="n">
        <x:v>0.25</x:v>
      </x:c>
      <x:c r="C58" s="13" t="str">
        <x:v>BOB</x:v>
      </x:c>
      <x:c r="D58" s="12" t="n">
        <x:v>8.99</x:v>
      </x:c>
      <x:c r="E58" s="12" t="n">
        <x:v>58.99</x:v>
      </x:c>
      <x:c r="F58" s="12" t="n">
        <x:v>116.99</x:v>
      </x:c>
      <x:c r="G58" s="23" t="n">
        <x:v>87.99</x:v>
      </x:c>
      <x:c r="H58" s="12" t="n">
        <x:v>280.99</x:v>
      </x:c>
      <x:c r="I58" s="12" t="n">
        <x:v>561.99</x:v>
      </x:c>
      <x:c r="J58" s="23" t="n">
        <x:f>ROUND(G58*12,2)</x:f>
        <x:v>1055.88</x:v>
      </x:c>
      <x:c r="K58" s="12" t="n">
        <x:v>28.99</x:v>
      </x:c>
      <x:c r="L58" s="12" t="n">
        <x:v>14.99</x:v>
      </x:c>
      <x:c r="M58" s="12" t="n">
        <x:v>19.99</x:v>
      </x:c>
      <x:c r="N58" s="14" t="n">
        <x:f>'Pass测算'!J26</x:f>
        <x:v>7.1</x:v>
      </x:c>
      <x:c r="O58" s="13" t="str">
        <x:v>第2组</x:v>
      </x:c>
      <x:c r="P58" s="13" t="str">
        <x:v>Z025</x:v>
      </x:c>
      <x:c r="Q58" s="13" t="str">
        <x:v>已配置</x:v>
      </x:c>
      <x:c r="R58" s="28" t="n">
        <x:v>233.99</x:v>
      </x:c>
      <x:c r="S58" s="28" t="n">
        <x:v>1124.99</x:v>
      </x:c>
    </x:row>
    <x:row r="59" ht="29" customHeight="1">
      <x:c r="A59" s="4" t="str">
        <x:v>法国</x:v>
      </x:c>
      <x:c r="B59" s="10" t="n">
        <x:v>0.75</x:v>
      </x:c>
      <x:c r="C59" s="13" t="str">
        <x:v>EUR</x:v>
      </x:c>
      <x:c r="D59" s="12" t="n">
        <x:v>1.99</x:v>
      </x:c>
      <x:c r="E59" s="12" t="n">
        <x:v>12.99</x:v>
      </x:c>
      <x:c r="F59" s="12" t="n">
        <x:v>26.99</x:v>
      </x:c>
      <x:c r="G59" s="23" t="n">
        <x:v>19.99</x:v>
      </x:c>
      <x:c r="H59" s="12" t="n">
        <x:v>62.99</x:v>
      </x:c>
      <x:c r="I59" s="12" t="n">
        <x:v>127.99</x:v>
      </x:c>
      <x:c r="J59" s="23" t="n">
        <x:f>ROUND(G59*12,2)</x:f>
        <x:v>239.88</x:v>
      </x:c>
      <x:c r="K59" s="12" t="n">
        <x:v>6.49</x:v>
      </x:c>
      <x:c r="L59" s="12" t="n">
        <x:v>3.49</x:v>
      </x:c>
      <x:c r="M59" s="12" t="n">
        <x:v>4.49</x:v>
      </x:c>
      <x:c r="N59" s="14" t="n">
        <x:f>'Pass测算'!J88</x:f>
        <x:v>0.65</x:v>
      </x:c>
      <x:c r="O59" s="13" t="str">
        <x:v>第2组</x:v>
      </x:c>
      <x:c r="P59" s="13" t="str">
        <x:v>Z075</x:v>
      </x:c>
      <x:c r="Q59" s="13" t="str">
        <x:v>已配置</x:v>
      </x:c>
      <x:c r="R59" s="28" t="n">
        <x:v>52.99</x:v>
      </x:c>
      <x:c r="S59" s="28" t="n">
        <x:v>255.99</x:v>
      </x:c>
    </x:row>
    <x:row r="60" ht="29" customHeight="1">
      <x:c r="A60" s="4" t="str">
        <x:v>希腊</x:v>
      </x:c>
      <x:c r="B60" s="10" t="n">
        <x:v>0.55</x:v>
      </x:c>
      <x:c r="C60" s="13" t="str">
        <x:v>EUR</x:v>
      </x:c>
      <x:c r="D60" s="12" t="n">
        <x:v>1.49</x:v>
      </x:c>
      <x:c r="E60" s="12" t="n">
        <x:v>9.99</x:v>
      </x:c>
      <x:c r="F60" s="12" t="n">
        <x:v>19.99</x:v>
      </x:c>
      <x:c r="G60" s="23" t="n">
        <x:v>14.99</x:v>
      </x:c>
      <x:c r="H60" s="12" t="n">
        <x:v>46.99</x:v>
      </x:c>
      <x:c r="I60" s="12" t="n">
        <x:v>93.99</x:v>
      </x:c>
      <x:c r="J60" s="23" t="n">
        <x:f>ROUND(G60*12,2)</x:f>
        <x:v>179.88</x:v>
      </x:c>
      <x:c r="K60" s="12" t="n">
        <x:v>4.99</x:v>
      </x:c>
      <x:c r="L60" s="12" t="n">
        <x:v>2.49</x:v>
      </x:c>
      <x:c r="M60" s="12" t="n">
        <x:v>3.49</x:v>
      </x:c>
      <x:c r="N60" s="14" t="n">
        <x:f>'Pass测算'!J74</x:f>
        <x:v>0.53</x:v>
      </x:c>
      <x:c r="O60" s="13" t="str">
        <x:v>第2组</x:v>
      </x:c>
      <x:c r="P60" s="13" t="str">
        <x:v>Z055</x:v>
      </x:c>
      <x:c r="Q60" s="13" t="str">
        <x:v>已配置</x:v>
      </x:c>
      <x:c r="R60" s="28" t="n">
        <x:v>38.99</x:v>
      </x:c>
      <x:c r="S60" s="28" t="n">
        <x:v>187.99</x:v>
      </x:c>
    </x:row>
    <x:row r="61" ht="29" customHeight="1">
      <x:c r="A61" s="4" t="str">
        <x:v>危地马拉</x:v>
      </x:c>
      <x:c r="B61" s="10" t="n">
        <x:v>0.35</x:v>
      </x:c>
      <x:c r="C61" s="13" t="str">
        <x:v>GTQ</x:v>
      </x:c>
      <x:c r="D61" s="12" t="n">
        <x:v>7.99</x:v>
      </x:c>
      <x:c r="E61" s="12" t="n">
        <x:v>52.99</x:v>
      </x:c>
      <x:c r="F61" s="12" t="n">
        <x:v>106.99</x:v>
      </x:c>
      <x:c r="G61" s="23" t="n">
        <x:v>79.99</x:v>
      </x:c>
      <x:c r="H61" s="12" t="n">
        <x:v>255.99</x:v>
      </x:c>
      <x:c r="I61" s="12" t="n">
        <x:v>512.99</x:v>
      </x:c>
      <x:c r="J61" s="23" t="n">
        <x:f>ROUND(G61*12,2)</x:f>
        <x:v>959.88</x:v>
      </x:c>
      <x:c r="K61" s="12" t="n">
        <x:v>26.99</x:v>
      </x:c>
      <x:c r="L61" s="12" t="n">
        <x:v>12.99</x:v>
      </x:c>
      <x:c r="M61" s="12" t="n">
        <x:v>18.99</x:v>
      </x:c>
      <x:c r="N61" s="14" t="n">
        <x:f>'Pass测算'!J44</x:f>
        <x:v>4.6</x:v>
      </x:c>
      <x:c r="O61" s="13" t="str">
        <x:v>第2组</x:v>
      </x:c>
      <x:c r="P61" s="13" t="str">
        <x:v>Z035</x:v>
      </x:c>
      <x:c r="Q61" s="13" t="str">
        <x:v>已配置</x:v>
      </x:c>
      <x:c r="R61" s="28" t="n">
        <x:v>213.99</x:v>
      </x:c>
      <x:c r="S61" s="28" t="n">
        <x:v>1026.99</x:v>
      </x:c>
    </x:row>
    <x:row r="62" ht="29" customHeight="1">
      <x:c r="A62" s="4" t="str">
        <x:v>伊拉克</x:v>
      </x:c>
      <x:c r="B62" s="10" t="n">
        <x:v>0.35</x:v>
      </x:c>
      <x:c r="C62" s="13" t="str">
        <x:v>USD</x:v>
      </x:c>
      <x:c r="D62" s="12" t="n">
        <x:v>0.99</x:v>
      </x:c>
      <x:c r="E62" s="12" t="n">
        <x:v>6.99</x:v>
      </x:c>
      <x:c r="F62" s="12" t="n">
        <x:v>13.99</x:v>
      </x:c>
      <x:c r="G62" s="23" t="n">
        <x:v>10.99</x:v>
      </x:c>
      <x:c r="H62" s="12" t="n">
        <x:v>33.99</x:v>
      </x:c>
      <x:c r="I62" s="12" t="n">
        <x:v>66.99</x:v>
      </x:c>
      <x:c r="J62" s="23" t="n">
        <x:f>ROUND(G62*12,2)</x:f>
        <x:v>131.88</x:v>
      </x:c>
      <x:c r="K62" s="12" t="n">
        <x:v>3.49</x:v>
      </x:c>
      <x:c r="L62" s="12" t="n">
        <x:v>1.79</x:v>
      </x:c>
      <x:c r="M62" s="12" t="n">
        <x:v>2.49</x:v>
      </x:c>
      <x:c r="N62" s="14" t="n">
        <x:f>'Pass测算'!J42</x:f>
        <x:v>0.6</x:v>
      </x:c>
      <x:c r="O62" s="13" t="str">
        <x:v>第3组</x:v>
      </x:c>
      <x:c r="P62" s="13" t="str">
        <x:v>Z035</x:v>
      </x:c>
      <x:c r="Q62" s="13" t="str">
        <x:v>USD替代已配置</x:v>
      </x:c>
      <x:c r="R62" s="28"/>
      <x:c r="S62" s="28"/>
    </x:row>
    <x:row r="63" ht="29" customHeight="1">
      <x:c r="A63" s="4" t="str">
        <x:v>约旦</x:v>
      </x:c>
      <x:c r="B63" s="10" t="n">
        <x:v>0.35</x:v>
      </x:c>
      <x:c r="C63" s="13" t="str">
        <x:v>USD</x:v>
      </x:c>
      <x:c r="D63" s="12" t="n">
        <x:v>0.99</x:v>
      </x:c>
      <x:c r="E63" s="12" t="n">
        <x:v>6.99</x:v>
      </x:c>
      <x:c r="F63" s="12" t="n">
        <x:v>13.99</x:v>
      </x:c>
      <x:c r="G63" s="23" t="n">
        <x:v>10.99</x:v>
      </x:c>
      <x:c r="H63" s="12" t="n">
        <x:v>33.99</x:v>
      </x:c>
      <x:c r="I63" s="12" t="n">
        <x:v>66.99</x:v>
      </x:c>
      <x:c r="J63" s="23" t="n">
        <x:f>ROUND(G63*12,2)</x:f>
        <x:v>131.88</x:v>
      </x:c>
      <x:c r="K63" s="12" t="n">
        <x:v>3.49</x:v>
      </x:c>
      <x:c r="L63" s="12" t="n">
        <x:v>1.79</x:v>
      </x:c>
      <x:c r="M63" s="12" t="n">
        <x:v>2.49</x:v>
      </x:c>
      <x:c r="N63" s="14" t="n">
        <x:f>'Pass测算'!J42</x:f>
        <x:v>0.6</x:v>
      </x:c>
      <x:c r="O63" s="13" t="str">
        <x:v>第3组</x:v>
      </x:c>
      <x:c r="P63" s="13" t="str">
        <x:v>Z035</x:v>
      </x:c>
      <x:c r="Q63" s="13" t="str">
        <x:v>USD替代已配置</x:v>
      </x:c>
      <x:c r="R63" s="28"/>
      <x:c r="S63" s="28"/>
    </x:row>
    <x:row r="64" ht="29" customHeight="1">
      <x:c r="A64" s="4" t="str">
        <x:v>巴拿马</x:v>
      </x:c>
      <x:c r="B64" s="10" t="n">
        <x:v>0.5</x:v>
      </x:c>
      <x:c r="C64" s="13" t="str">
        <x:v>USD</x:v>
      </x:c>
      <x:c r="D64" s="12" t="n">
        <x:v>1.49</x:v>
      </x:c>
      <x:c r="E64" s="12" t="n">
        <x:v>9.99</x:v>
      </x:c>
      <x:c r="F64" s="12" t="n">
        <x:v>19.99</x:v>
      </x:c>
      <x:c r="G64" s="23" t="n">
        <x:v>14.99</x:v>
      </x:c>
      <x:c r="H64" s="12" t="n">
        <x:v>47.99</x:v>
      </x:c>
      <x:c r="I64" s="12" t="n">
        <x:v>95.99</x:v>
      </x:c>
      <x:c r="J64" s="23" t="n">
        <x:f>ROUND(G64*12,2)</x:f>
        <x:v>179.88</x:v>
      </x:c>
      <x:c r="K64" s="12" t="n">
        <x:v>4.99</x:v>
      </x:c>
      <x:c r="L64" s="12" t="n">
        <x:v>2.49</x:v>
      </x:c>
      <x:c r="M64" s="12" t="n">
        <x:v>3.49</x:v>
      </x:c>
      <x:c r="N64" s="14" t="n">
        <x:f>'Pass测算'!J66</x:f>
        <x:v>0.6</x:v>
      </x:c>
      <x:c r="O64" s="13" t="str">
        <x:v>第3组</x:v>
      </x:c>
      <x:c r="P64" s="13" t="str">
        <x:v>Z050</x:v>
      </x:c>
      <x:c r="Q64" s="13" t="str">
        <x:v>已配置</x:v>
      </x:c>
      <x:c r="R64" s="28" t="n">
        <x:v>39.99</x:v>
      </x:c>
      <x:c r="S64" s="28" t="n">
        <x:v>191.99</x:v>
      </x:c>
    </x:row>
    <x:row r="65" ht="29" customHeight="1">
      <x:c r="A65" s="4" t="str">
        <x:v>圣卢西亚</x:v>
      </x:c>
      <x:c r="B65" s="10" t="n">
        <x:v>0.45</x:v>
      </x:c>
      <x:c r="C65" s="13" t="str">
        <x:v>XCD</x:v>
      </x:c>
      <x:c r="D65" s="12" t="n">
        <x:v>3.49</x:v>
      </x:c>
      <x:c r="E65" s="12" t="n">
        <x:v>23.99</x:v>
      </x:c>
      <x:c r="F65" s="12" t="n">
        <x:v>48.99</x:v>
      </x:c>
      <x:c r="G65" s="23" t="n">
        <x:v>35.99</x:v>
      </x:c>
      <x:c r="H65" s="12" t="n">
        <x:v>115.99</x:v>
      </x:c>
      <x:c r="I65" s="12" t="n">
        <x:v>232.99</x:v>
      </x:c>
      <x:c r="J65" s="23" t="n">
        <x:f>ROUND(G65*12,2)</x:f>
        <x:v>431.88</x:v>
      </x:c>
      <x:c r="K65" s="12" t="n">
        <x:v>11.99</x:v>
      </x:c>
      <x:c r="L65" s="12" t="n">
        <x:v>5.99</x:v>
      </x:c>
      <x:c r="M65" s="12" t="n">
        <x:v>8.49</x:v>
      </x:c>
      <x:c r="N65" s="14" t="n">
        <x:f>'Pass测算'!J63</x:f>
        <x:v>1.7</x:v>
      </x:c>
      <x:c r="O65" s="13" t="str">
        <x:v>第3组</x:v>
      </x:c>
      <x:c r="P65" s="13" t="str">
        <x:v>Z045</x:v>
      </x:c>
      <x:c r="Q65" s="13" t="str">
        <x:v>已配置</x:v>
      </x:c>
      <x:c r="R65" s="28" t="n">
        <x:v>96.99</x:v>
      </x:c>
      <x:c r="S65" s="28" t="n">
        <x:v>465.99</x:v>
      </x:c>
    </x:row>
    <x:row r="66" ht="29" customHeight="1">
      <x:c r="A66" s="4" t="str">
        <x:v>西班牙</x:v>
      </x:c>
      <x:c r="B66" s="10" t="n">
        <x:v>0.65</x:v>
      </x:c>
      <x:c r="C66" s="13" t="str">
        <x:v>EUR</x:v>
      </x:c>
      <x:c r="D66" s="12" t="n">
        <x:v>1.69</x:v>
      </x:c>
      <x:c r="E66" s="12" t="n">
        <x:v>11.99</x:v>
      </x:c>
      <x:c r="F66" s="12" t="n">
        <x:v>22.99</x:v>
      </x:c>
      <x:c r="G66" s="23" t="n">
        <x:v>16.99</x:v>
      </x:c>
      <x:c r="H66" s="12" t="n">
        <x:v>56.99</x:v>
      </x:c>
      <x:c r="I66" s="12" t="n">
        <x:v>110.99</x:v>
      </x:c>
      <x:c r="J66" s="23" t="n">
        <x:f>ROUND(G66*12,2)</x:f>
        <x:v>203.88</x:v>
      </x:c>
      <x:c r="K66" s="12" t="n">
        <x:v>5.99</x:v>
      </x:c>
      <x:c r="L66" s="12" t="n">
        <x:v>2.99</x:v>
      </x:c>
      <x:c r="M66" s="12" t="n">
        <x:v>3.99</x:v>
      </x:c>
      <x:c r="N66" s="14" t="n">
        <x:f>'Pass测算'!J84</x:f>
        <x:v>0.57</x:v>
      </x:c>
      <x:c r="O66" s="13" t="str">
        <x:v>第3组</x:v>
      </x:c>
      <x:c r="P66" s="13" t="str">
        <x:v>Z065</x:v>
      </x:c>
      <x:c r="Q66" s="13" t="str">
        <x:v>已配置</x:v>
      </x:c>
      <x:c r="R66" s="28" t="n">
        <x:v>45.99</x:v>
      </x:c>
      <x:c r="S66" s="28" t="n">
        <x:v>221.99</x:v>
      </x:c>
    </x:row>
    <x:row r="67" ht="29" customHeight="1">
      <x:c r="A67" s="4" t="str">
        <x:v>斯里兰卡</x:v>
      </x:c>
      <x:c r="B67" s="10" t="n">
        <x:v>0.25</x:v>
      </x:c>
      <x:c r="C67" s="13" t="str">
        <x:v>LKR</x:v>
      </x:c>
      <x:c r="D67" s="15" t="n">
        <x:v>249</x:v>
      </x:c>
      <x:c r="E67" s="15" t="n">
        <x:v>1699</x:v>
      </x:c>
      <x:c r="F67" s="15" t="n">
        <x:v>3299</x:v>
      </x:c>
      <x:c r="G67" s="24" t="n">
        <x:v>2499</x:v>
      </x:c>
      <x:c r="H67" s="15" t="n">
        <x:v>7999</x:v>
      </x:c>
      <x:c r="I67" s="15" t="n">
        <x:v>15900</x:v>
      </x:c>
      <x:c r="J67" s="24" t="n">
        <x:f>ROUND(G67*12,2)</x:f>
        <x:v>29988</x:v>
      </x:c>
      <x:c r="K67" s="15" t="n">
        <x:v>829</x:v>
      </x:c>
      <x:c r="L67" s="15" t="n">
        <x:v>409</x:v>
      </x:c>
      <x:c r="M67" s="15" t="n">
        <x:v>579</x:v>
      </x:c>
      <x:c r="N67" s="15" t="n">
        <x:f>'Pass测算'!J28</x:f>
        <x:v>210</x:v>
      </x:c>
      <x:c r="O67" s="13" t="str">
        <x:v>第3组</x:v>
      </x:c>
      <x:c r="P67" s="13" t="str">
        <x:v>Z025</x:v>
      </x:c>
      <x:c r="Q67" s="13" t="str">
        <x:v>已配置</x:v>
      </x:c>
      <x:c r="R67" s="29" t="n">
        <x:v>6599</x:v>
      </x:c>
      <x:c r="S67" s="29" t="n">
        <x:v>31900</x:v>
      </x:c>
    </x:row>
    <x:row r="68" ht="29" customHeight="1">
      <x:c r="A68" s="4" t="str">
        <x:v>坦桑尼亚</x:v>
      </x:c>
      <x:c r="B68" s="10" t="n">
        <x:v>0.2</x:v>
      </x:c>
      <x:c r="C68" s="13" t="str">
        <x:v>TZS</x:v>
      </x:c>
      <x:c r="D68" s="15" t="n">
        <x:v>1599</x:v>
      </x:c>
      <x:c r="E68" s="15" t="n">
        <x:v>10900</x:v>
      </x:c>
      <x:c r="F68" s="15" t="n">
        <x:v>20900</x:v>
      </x:c>
      <x:c r="G68" s="24" t="n">
        <x:v>15900</x:v>
      </x:c>
      <x:c r="H68" s="15" t="n">
        <x:v>51900</x:v>
      </x:c>
      <x:c r="I68" s="15" t="n">
        <x:v>99000</x:v>
      </x:c>
      <x:c r="J68" s="24" t="n">
        <x:f>ROUND(G68*12,2)</x:f>
        <x:v>190800</x:v>
      </x:c>
      <x:c r="K68" s="15" t="n">
        <x:v>5299</x:v>
      </x:c>
      <x:c r="L68" s="15" t="n">
        <x:v>2599</x:v>
      </x:c>
      <x:c r="M68" s="15" t="n">
        <x:v>3699</x:v>
      </x:c>
      <x:c r="N68" s="15" t="n">
        <x:f>'Pass测算'!J12</x:f>
        <x:v>1700</x:v>
      </x:c>
      <x:c r="O68" s="13" t="str">
        <x:v>第3组</x:v>
      </x:c>
      <x:c r="P68" s="13" t="str">
        <x:v>Z020</x:v>
      </x:c>
      <x:c r="Q68" s="13" t="str">
        <x:v>已配置</x:v>
      </x:c>
      <x:c r="R68" s="29" t="n">
        <x:v>41900</x:v>
      </x:c>
      <x:c r="S68" s="29" t="n">
        <x:v>199000</x:v>
      </x:c>
    </x:row>
    <x:row r="69" ht="29" customHeight="1">
      <x:c r="A69" s="4" t="str">
        <x:v>乌干达</x:v>
      </x:c>
      <x:c r="B69" s="10" t="n">
        <x:v>0.2</x:v>
      </x:c>
      <x:c r="C69" s="13" t="str">
        <x:v>UGX</x:v>
      </x:c>
      <x:c r="D69" s="15" t="n">
        <x:v>2399</x:v>
      </x:c>
      <x:c r="E69" s="15" t="n">
        <x:v>15900</x:v>
      </x:c>
      <x:c r="F69" s="15" t="n">
        <x:v>31900</x:v>
      </x:c>
      <x:c r="G69" s="24" t="n">
        <x:v>23900</x:v>
      </x:c>
      <x:c r="H69" s="15" t="n">
        <x:v>76900</x:v>
      </x:c>
      <x:c r="I69" s="15" t="n">
        <x:v>152900</x:v>
      </x:c>
      <x:c r="J69" s="24" t="n">
        <x:f>ROUND(G69*12,2)</x:f>
        <x:v>286800</x:v>
      </x:c>
      <x:c r="K69" s="15" t="n">
        <x:v>7999</x:v>
      </x:c>
      <x:c r="L69" s="15" t="n">
        <x:v>3999</x:v>
      </x:c>
      <x:c r="M69" s="15" t="n">
        <x:v>5599</x:v>
      </x:c>
      <x:c r="N69" s="15" t="n">
        <x:f>'Pass测算'!J13</x:f>
        <x:v>2400</x:v>
      </x:c>
      <x:c r="O69" s="13" t="str">
        <x:v>第3组</x:v>
      </x:c>
      <x:c r="P69" s="13" t="str">
        <x:v>Z020</x:v>
      </x:c>
      <x:c r="Q69" s="13" t="str">
        <x:v>已配置</x:v>
      </x:c>
      <x:c r="R69" s="29" t="n">
        <x:v>63900</x:v>
      </x:c>
      <x:c r="S69" s="29" t="n">
        <x:v>309000</x:v>
      </x:c>
    </x:row>
    <x:row r="70" ht="29" customHeight="1">
      <x:c r="A70" s="4" t="str">
        <x:v>委内瑞拉</x:v>
      </x:c>
      <x:c r="B70" s="10" t="n">
        <x:v>0.2</x:v>
      </x:c>
      <x:c r="C70" s="13" t="str">
        <x:v>USD</x:v>
      </x:c>
      <x:c r="D70" s="12" t="n">
        <x:v>0.59</x:v>
      </x:c>
      <x:c r="E70" s="12" t="n">
        <x:v>3.99</x:v>
      </x:c>
      <x:c r="F70" s="12" t="n">
        <x:v>7.99</x:v>
      </x:c>
      <x:c r="G70" s="23" t="n">
        <x:v>5.99</x:v>
      </x:c>
      <x:c r="H70" s="12" t="n">
        <x:v>18.99</x:v>
      </x:c>
      <x:c r="I70" s="12" t="n">
        <x:v>37.99</x:v>
      </x:c>
      <x:c r="J70" s="23" t="n">
        <x:f>ROUND(G70*12,2)</x:f>
        <x:v>71.88</x:v>
      </x:c>
      <x:c r="K70" s="12" t="n">
        <x:v>1.99</x:v>
      </x:c>
      <x:c r="L70" s="12" t="n">
        <x:v>0.99</x:v>
      </x:c>
      <x:c r="M70" s="12" t="n">
        <x:v>1.49</x:v>
      </x:c>
      <x:c r="N70" s="14" t="n">
        <x:f>'Pass测算'!J9</x:f>
        <x:v>0.6</x:v>
      </x:c>
      <x:c r="O70" s="13" t="str">
        <x:v>第3组</x:v>
      </x:c>
      <x:c r="P70" s="13" t="str">
        <x:v>Z020</x:v>
      </x:c>
      <x:c r="Q70" s="13" t="str">
        <x:v>USD替代已配置</x:v>
      </x:c>
      <x:c r="R70" s="28"/>
      <x:c r="S70" s="28"/>
    </x:row>
    <x:row r="71" ht="29" customHeight="1">
      <x:c r="A71" s="4" t="str">
        <x:v>赞比亚</x:v>
      </x:c>
      <x:c r="B71" s="10" t="n">
        <x:v>0.2</x:v>
      </x:c>
      <x:c r="C71" s="13" t="str">
        <x:v>ZMW</x:v>
      </x:c>
      <x:c r="D71" s="15" t="n">
        <x:v>12</x:v>
      </x:c>
      <x:c r="E71" s="15" t="n">
        <x:v>79</x:v>
      </x:c>
      <x:c r="F71" s="15" t="n">
        <x:v>159</x:v>
      </x:c>
      <x:c r="G71" s="24" t="n">
        <x:v>119</x:v>
      </x:c>
      <x:c r="H71" s="15" t="n">
        <x:v>379</x:v>
      </x:c>
      <x:c r="I71" s="15" t="n">
        <x:v>769</x:v>
      </x:c>
      <x:c r="J71" s="24" t="n">
        <x:f>ROUND(G71*12,2)</x:f>
        <x:v>1428</x:v>
      </x:c>
      <x:c r="K71" s="15" t="n">
        <x:v>39</x:v>
      </x:c>
      <x:c r="L71" s="15" t="n">
        <x:v>19</x:v>
      </x:c>
      <x:c r="M71" s="15" t="n">
        <x:v>29</x:v>
      </x:c>
      <x:c r="N71" s="15" t="n">
        <x:f>'Pass测算'!J14</x:f>
        <x:v>12</x:v>
      </x:c>
      <x:c r="O71" s="13" t="str">
        <x:v>第3组</x:v>
      </x:c>
      <x:c r="P71" s="13" t="str">
        <x:v>Z020</x:v>
      </x:c>
      <x:c r="Q71" s="13" t="str">
        <x:v>已配置</x:v>
      </x:c>
      <x:c r="R71" s="29" t="n">
        <x:v>319</x:v>
      </x:c>
      <x:c r="S71" s="29" t="n">
        <x:v>1499</x:v>
      </x:c>
    </x:row>
    <x:row r="72" ht="29" customHeight="1">
      <x:c r="A72" s="4" t="str">
        <x:v>阿富汗</x:v>
      </x:c>
      <x:c r="B72" s="10" t="n">
        <x:v>0.2</x:v>
      </x:c>
      <x:c r="C72" s="13" t="str">
        <x:v>AFN</x:v>
      </x:c>
      <x:c r="D72" s="15" t="n">
        <x:v>39</x:v>
      </x:c>
      <x:c r="E72" s="15" t="n">
        <x:v>259</x:v>
      </x:c>
      <x:c r="F72" s="15" t="n">
        <x:v>519</x:v>
      </x:c>
      <x:c r="G72" s="24" t="n">
        <x:v>389</x:v>
      </x:c>
      <x:c r="H72" s="15" t="n">
        <x:v>1249</x:v>
      </x:c>
      <x:c r="I72" s="15" t="n">
        <x:v>2499</x:v>
      </x:c>
      <x:c r="J72" s="24" t="n">
        <x:f>ROUND(G72*12,2)</x:f>
        <x:v>4668</x:v>
      </x:c>
      <x:c r="K72" s="15" t="n">
        <x:v>129</x:v>
      </x:c>
      <x:c r="L72" s="15" t="n">
        <x:v>69</x:v>
      </x:c>
      <x:c r="M72" s="15" t="n">
        <x:v>89</x:v>
      </x:c>
      <x:c r="N72" s="15" t="n">
        <x:f>'Pass测算'!J15</x:f>
        <x:v>39</x:v>
      </x:c>
      <x:c r="O72" s="13" t="str">
        <x:v>第3组</x:v>
      </x:c>
      <x:c r="P72" s="13" t="str">
        <x:v>Z020</x:v>
      </x:c>
      <x:c r="Q72" s="13" t="str">
        <x:v>已配置</x:v>
      </x:c>
      <x:c r="R72" s="29" t="n">
        <x:v>999</x:v>
      </x:c>
      <x:c r="S72" s="29" t="n">
        <x:v>4899</x:v>
      </x:c>
    </x:row>
    <x:row r="73" ht="29" customHeight="1">
      <x:c r="A73" s="4" t="str">
        <x:v>阿尔巴尼亚</x:v>
      </x:c>
      <x:c r="B73" s="10" t="n">
        <x:v>0.4</x:v>
      </x:c>
      <x:c r="C73" s="13" t="str">
        <x:v>ALL</x:v>
      </x:c>
      <x:c r="D73" s="15" t="n">
        <x:v>99</x:v>
      </x:c>
      <x:c r="E73" s="15" t="n">
        <x:v>649</x:v>
      </x:c>
      <x:c r="F73" s="15" t="n">
        <x:v>1299</x:v>
      </x:c>
      <x:c r="G73" s="24" t="n">
        <x:v>979</x:v>
      </x:c>
      <x:c r="H73" s="15" t="n">
        <x:v>3099</x:v>
      </x:c>
      <x:c r="I73" s="15" t="n">
        <x:v>6299</x:v>
      </x:c>
      <x:c r="J73" s="24" t="n">
        <x:f>ROUND(G73*12,2)</x:f>
        <x:v>11748</x:v>
      </x:c>
      <x:c r="K73" s="15" t="n">
        <x:v>329</x:v>
      </x:c>
      <x:c r="L73" s="15" t="n">
        <x:v>159</x:v>
      </x:c>
      <x:c r="M73" s="15" t="n">
        <x:v>229</x:v>
      </x:c>
      <x:c r="N73" s="15" t="n">
        <x:f>'Pass测算'!J55</x:f>
        <x:v>49</x:v>
      </x:c>
      <x:c r="O73" s="13" t="str">
        <x:v>第3组</x:v>
      </x:c>
      <x:c r="P73" s="13" t="str">
        <x:v>Z040</x:v>
      </x:c>
      <x:c r="Q73" s="13" t="str">
        <x:v>已配置</x:v>
      </x:c>
      <x:c r="R73" s="29" t="n">
        <x:v>2599</x:v>
      </x:c>
      <x:c r="S73" s="29" t="n">
        <x:v>12499</x:v>
      </x:c>
    </x:row>
    <x:row r="74" ht="29" customHeight="1">
      <x:c r="A74" s="4" t="str">
        <x:v>巴巴多斯</x:v>
      </x:c>
      <x:c r="B74" s="10" t="n">
        <x:v>0.55</x:v>
      </x:c>
      <x:c r="C74" s="13" t="str">
        <x:v>BBD</x:v>
      </x:c>
      <x:c r="D74" s="12" t="n">
        <x:v>3.49</x:v>
      </x:c>
      <x:c r="E74" s="12" t="n">
        <x:v>21.99</x:v>
      </x:c>
      <x:c r="F74" s="12" t="n">
        <x:v>43.99</x:v>
      </x:c>
      <x:c r="G74" s="23" t="n">
        <x:v>32.99</x:v>
      </x:c>
      <x:c r="H74" s="12" t="n">
        <x:v>104.99</x:v>
      </x:c>
      <x:c r="I74" s="12" t="n">
        <x:v>210.99</x:v>
      </x:c>
      <x:c r="J74" s="23" t="n">
        <x:f>ROUND(G74*12,2)</x:f>
        <x:v>395.88</x:v>
      </x:c>
      <x:c r="K74" s="12" t="n">
        <x:v>10.99</x:v>
      </x:c>
      <x:c r="L74" s="12" t="n">
        <x:v>5.49</x:v>
      </x:c>
      <x:c r="M74" s="12" t="n">
        <x:v>7.49</x:v>
      </x:c>
      <x:c r="N74" s="14" t="n">
        <x:f>'Pass测算'!J75</x:f>
        <x:v>1.3</x:v>
      </x:c>
      <x:c r="O74" s="13" t="str">
        <x:v>第3组</x:v>
      </x:c>
      <x:c r="P74" s="13" t="str">
        <x:v>Z055</x:v>
      </x:c>
      <x:c r="Q74" s="13" t="str">
        <x:v>已配置</x:v>
      </x:c>
      <x:c r="R74" s="28" t="n">
        <x:v>87.99</x:v>
      </x:c>
      <x:c r="S74" s="28" t="n">
        <x:v>421.99</x:v>
      </x:c>
    </x:row>
    <x:row r="75" ht="29" customHeight="1">
      <x:c r="A75" s="4" t="str">
        <x:v>比利时</x:v>
      </x:c>
      <x:c r="B75" s="10" t="n">
        <x:v>0.8</x:v>
      </x:c>
      <x:c r="C75" s="13" t="str">
        <x:v>EUR</x:v>
      </x:c>
      <x:c r="D75" s="12" t="n">
        <x:v>1.99</x:v>
      </x:c>
      <x:c r="E75" s="12" t="n">
        <x:v>13.99</x:v>
      </x:c>
      <x:c r="F75" s="12" t="n">
        <x:v>27.99</x:v>
      </x:c>
      <x:c r="G75" s="23" t="n">
        <x:v>20.99</x:v>
      </x:c>
      <x:c r="H75" s="12" t="n">
        <x:v>67.99</x:v>
      </x:c>
      <x:c r="I75" s="12" t="n">
        <x:v>136.99</x:v>
      </x:c>
      <x:c r="J75" s="23" t="n">
        <x:f>ROUND(G75*12,2)</x:f>
        <x:v>251.88</x:v>
      </x:c>
      <x:c r="K75" s="12" t="n">
        <x:v>6.99</x:v>
      </x:c>
      <x:c r="L75" s="12" t="n">
        <x:v>3.49</x:v>
      </x:c>
      <x:c r="M75" s="12" t="n">
        <x:v>4.99</x:v>
      </x:c>
      <x:c r="N75" s="14" t="n">
        <x:f>'Pass测算'!J90</x:f>
        <x:v>0.7</x:v>
      </x:c>
      <x:c r="O75" s="13" t="str">
        <x:v>第3组</x:v>
      </x:c>
      <x:c r="P75" s="13" t="str">
        <x:v>Z080</x:v>
      </x:c>
      <x:c r="Q75" s="13" t="str">
        <x:v>已配置</x:v>
      </x:c>
      <x:c r="R75" s="28" t="n">
        <x:v>56.99</x:v>
      </x:c>
      <x:c r="S75" s="28" t="n">
        <x:v>272.99</x:v>
      </x:c>
    </x:row>
    <x:row r="76" ht="29" customHeight="1">
      <x:c r="A76" s="4" t="str">
        <x:v>百慕大</x:v>
      </x:c>
      <x:c r="B76" s="10" t="n">
        <x:v>1</x:v>
      </x:c>
      <x:c r="C76" s="13" t="str">
        <x:v>BMD</x:v>
      </x:c>
      <x:c r="D76" s="12" t="n">
        <x:v>2.99</x:v>
      </x:c>
      <x:c r="E76" s="12" t="n">
        <x:v>19.99</x:v>
      </x:c>
      <x:c r="F76" s="12" t="n">
        <x:v>39.99</x:v>
      </x:c>
      <x:c r="G76" s="23" t="n">
        <x:v>29.99</x:v>
      </x:c>
      <x:c r="H76" s="12" t="n">
        <x:v>95.99</x:v>
      </x:c>
      <x:c r="I76" s="12" t="n">
        <x:v>191.99</x:v>
      </x:c>
      <x:c r="J76" s="23" t="n">
        <x:f>ROUND(G76*12,2)</x:f>
        <x:v>359.88</x:v>
      </x:c>
      <x:c r="K76" s="12" t="n">
        <x:v>9.99</x:v>
      </x:c>
      <x:c r="L76" s="12" t="n">
        <x:v>4.99</x:v>
      </x:c>
      <x:c r="M76" s="12" t="n">
        <x:v>6.99</x:v>
      </x:c>
      <x:c r="N76" s="14" t="n">
        <x:f>'Pass测算'!J103</x:f>
        <x:v>0.99</x:v>
      </x:c>
      <x:c r="O76" s="13" t="str">
        <x:v>第3组</x:v>
      </x:c>
      <x:c r="P76" s="13" t="str">
        <x:v>Z100</x:v>
      </x:c>
      <x:c r="Q76" s="13" t="str">
        <x:v>已配置</x:v>
      </x:c>
      <x:c r="R76" s="28" t="n">
        <x:v>79.99</x:v>
      </x:c>
      <x:c r="S76" s="28" t="n">
        <x:v>383.99</x:v>
      </x:c>
    </x:row>
    <x:row r="77" ht="29" customHeight="1">
      <x:c r="A77" s="4" t="str">
        <x:v>文莱</x:v>
      </x:c>
      <x:c r="B77" s="10" t="n">
        <x:v>0.55</x:v>
      </x:c>
      <x:c r="C77" s="13" t="str">
        <x:v>BND</x:v>
      </x:c>
      <x:c r="D77" s="12" t="n">
        <x:v>1.99</x:v>
      </x:c>
      <x:c r="E77" s="12" t="n">
        <x:v>13.99</x:v>
      </x:c>
      <x:c r="F77" s="12" t="n">
        <x:v>27.99</x:v>
      </x:c>
      <x:c r="G77" s="23" t="n">
        <x:v>20.99</x:v>
      </x:c>
      <x:c r="H77" s="12" t="n">
        <x:v>67.99</x:v>
      </x:c>
      <x:c r="I77" s="12" t="n">
        <x:v>134.99</x:v>
      </x:c>
      <x:c r="J77" s="23" t="n">
        <x:f>ROUND(G77*12,2)</x:f>
        <x:v>251.88</x:v>
      </x:c>
      <x:c r="K77" s="12" t="n">
        <x:v>6.99</x:v>
      </x:c>
      <x:c r="L77" s="12" t="n">
        <x:v>3.49</x:v>
      </x:c>
      <x:c r="M77" s="12" t="n">
        <x:v>4.99</x:v>
      </x:c>
      <x:c r="N77" s="14" t="n">
        <x:f>'Pass测算'!J76</x:f>
        <x:v>0.77</x:v>
      </x:c>
      <x:c r="O77" s="13" t="str">
        <x:v>第3组</x:v>
      </x:c>
      <x:c r="P77" s="13" t="str">
        <x:v>Z055</x:v>
      </x:c>
      <x:c r="Q77" s="13" t="str">
        <x:v>已配置</x:v>
      </x:c>
      <x:c r="R77" s="28" t="n">
        <x:v>55.99</x:v>
      </x:c>
      <x:c r="S77" s="28" t="n">
        <x:v>269.99</x:v>
      </x:c>
    </x:row>
    <x:row r="78" ht="29" customHeight="1">
      <x:c r="A78" s="4" t="str">
        <x:v>柬埔寨</x:v>
      </x:c>
      <x:c r="B78" s="10" t="n">
        <x:v>0.25</x:v>
      </x:c>
      <x:c r="C78" s="13" t="str">
        <x:v>KHR</x:v>
      </x:c>
      <x:c r="D78" s="15" t="n">
        <x:v>2999</x:v>
      </x:c>
      <x:c r="E78" s="15" t="n">
        <x:v>19900</x:v>
      </x:c>
      <x:c r="F78" s="15" t="n">
        <x:v>40900</x:v>
      </x:c>
      <x:c r="G78" s="24" t="n">
        <x:v>30900</x:v>
      </x:c>
      <x:c r="H78" s="15" t="n">
        <x:v>96900</x:v>
      </x:c>
      <x:c r="I78" s="15" t="n">
        <x:v>199000</x:v>
      </x:c>
      <x:c r="J78" s="24" t="n">
        <x:f>ROUND(G78*12,2)</x:f>
        <x:v>370800</x:v>
      </x:c>
      <x:c r="K78" s="15" t="n">
        <x:v>9900</x:v>
      </x:c>
      <x:c r="L78" s="15" t="n">
        <x:v>5099</x:v>
      </x:c>
      <x:c r="M78" s="15" t="n">
        <x:v>7099</x:v>
      </x:c>
      <x:c r="N78" s="15" t="n">
        <x:f>'Pass测算'!J29</x:f>
        <x:v>2400</x:v>
      </x:c>
      <x:c r="O78" s="13" t="str">
        <x:v>第3组</x:v>
      </x:c>
      <x:c r="P78" s="13" t="str">
        <x:v>Z025</x:v>
      </x:c>
      <x:c r="Q78" s="13" t="str">
        <x:v>已配置</x:v>
      </x:c>
      <x:c r="R78" s="29" t="n">
        <x:v>80900</x:v>
      </x:c>
      <x:c r="S78" s="29" t="n">
        <x:v>389000</x:v>
      </x:c>
    </x:row>
    <x:row r="79" ht="29" customHeight="1">
      <x:c r="A79" s="4" t="str">
        <x:v>喀麦隆</x:v>
      </x:c>
      <x:c r="B79" s="10" t="n">
        <x:v>0.2</x:v>
      </x:c>
      <x:c r="C79" s="13" t="str">
        <x:v>XAF</x:v>
      </x:c>
      <x:c r="D79" s="15" t="n">
        <x:v>349</x:v>
      </x:c>
      <x:c r="E79" s="15" t="n">
        <x:v>2299</x:v>
      </x:c>
      <x:c r="F79" s="15" t="n">
        <x:v>4699</x:v>
      </x:c>
      <x:c r="G79" s="24" t="n">
        <x:v>3499</x:v>
      </x:c>
      <x:c r="H79" s="15" t="n">
        <x:v>10900</x:v>
      </x:c>
      <x:c r="I79" s="15" t="n">
        <x:v>22900</x:v>
      </x:c>
      <x:c r="J79" s="24" t="n">
        <x:f>ROUND(G79*12,2)</x:f>
        <x:v>41988</x:v>
      </x:c>
      <x:c r="K79" s="15" t="n">
        <x:v>1199</x:v>
      </x:c>
      <x:c r="L79" s="15" t="n">
        <x:v>579</x:v>
      </x:c>
      <x:c r="M79" s="15" t="n">
        <x:v>819</x:v>
      </x:c>
      <x:c r="N79" s="15" t="n">
        <x:f>'Pass测算'!J16</x:f>
        <x:v>350</x:v>
      </x:c>
      <x:c r="O79" s="13" t="str">
        <x:v>第3组</x:v>
      </x:c>
      <x:c r="P79" s="13" t="str">
        <x:v>Z020</x:v>
      </x:c>
      <x:c r="Q79" s="13" t="str">
        <x:v>已配置</x:v>
      </x:c>
      <x:c r="R79" s="29" t="n">
        <x:v>9299</x:v>
      </x:c>
      <x:c r="S79" s="29" t="n">
        <x:v>44900</x:v>
      </x:c>
    </x:row>
    <x:row r="80" ht="29" customHeight="1">
      <x:c r="A80" s="4" t="str">
        <x:v>智利</x:v>
      </x:c>
      <x:c r="B80" s="10" t="n">
        <x:v>0.45</x:v>
      </x:c>
      <x:c r="C80" s="13" t="str">
        <x:v>CLP</x:v>
      </x:c>
      <x:c r="D80" s="15" t="n">
        <x:v>1299</x:v>
      </x:c>
      <x:c r="E80" s="15" t="n">
        <x:v>8799</x:v>
      </x:c>
      <x:c r="F80" s="15" t="n">
        <x:v>17900</x:v>
      </x:c>
      <x:c r="G80" s="24" t="n">
        <x:v>12900</x:v>
      </x:c>
      <x:c r="H80" s="15" t="n">
        <x:v>41900</x:v>
      </x:c>
      <x:c r="I80" s="15" t="n">
        <x:v>84900</x:v>
      </x:c>
      <x:c r="J80" s="24" t="n">
        <x:f>ROUND(G80*12,2)</x:f>
        <x:v>154800</x:v>
      </x:c>
      <x:c r="K80" s="15" t="n">
        <x:v>4399</x:v>
      </x:c>
      <x:c r="L80" s="15" t="n">
        <x:v>2199</x:v>
      </x:c>
      <x:c r="M80" s="15" t="n">
        <x:v>3099</x:v>
      </x:c>
      <x:c r="N80" s="15" t="n">
        <x:f>'Pass测算'!J64</x:f>
        <x:v>590</x:v>
      </x:c>
      <x:c r="O80" s="13" t="str">
        <x:v>第3组</x:v>
      </x:c>
      <x:c r="P80" s="13" t="str">
        <x:v>Z045</x:v>
      </x:c>
      <x:c r="Q80" s="13" t="str">
        <x:v>已配置</x:v>
      </x:c>
      <x:c r="R80" s="29" t="n">
        <x:v>34900</x:v>
      </x:c>
      <x:c r="S80" s="29" t="n">
        <x:v>169000</x:v>
      </x:c>
    </x:row>
    <x:row r="81" ht="29" customHeight="1">
      <x:c r="A81" s="4" t="str">
        <x:v>哥斯达黎加</x:v>
      </x:c>
      <x:c r="B81" s="10" t="n">
        <x:v>0.5</x:v>
      </x:c>
      <x:c r="C81" s="13" t="str">
        <x:v>CRC</x:v>
      </x:c>
      <x:c r="D81" s="15" t="n">
        <x:v>679</x:v>
      </x:c>
      <x:c r="E81" s="15" t="n">
        <x:v>4599</x:v>
      </x:c>
      <x:c r="F81" s="15" t="n">
        <x:v>9099</x:v>
      </x:c>
      <x:c r="G81" s="24" t="n">
        <x:v>6799</x:v>
      </x:c>
      <x:c r="H81" s="15" t="n">
        <x:v>21900</x:v>
      </x:c>
      <x:c r="I81" s="15" t="n">
        <x:v>43900</x:v>
      </x:c>
      <x:c r="J81" s="24" t="n">
        <x:f>ROUND(G81*12,2)</x:f>
        <x:v>81588</x:v>
      </x:c>
      <x:c r="K81" s="15" t="n">
        <x:v>2299</x:v>
      </x:c>
      <x:c r="L81" s="15" t="n">
        <x:v>1099</x:v>
      </x:c>
      <x:c r="M81" s="15" t="n">
        <x:v>1599</x:v>
      </x:c>
      <x:c r="N81" s="15" t="n">
        <x:f>'Pass测算'!J67</x:f>
        <x:v>280</x:v>
      </x:c>
      <x:c r="O81" s="13" t="str">
        <x:v>第3组</x:v>
      </x:c>
      <x:c r="P81" s="13" t="str">
        <x:v>Z050</x:v>
      </x:c>
      <x:c r="Q81" s="13" t="str">
        <x:v>已配置</x:v>
      </x:c>
      <x:c r="R81" s="29" t="n">
        <x:v>17900</x:v>
      </x:c>
      <x:c r="S81" s="29" t="n">
        <x:v>87900</x:v>
      </x:c>
    </x:row>
    <x:row r="82" ht="29" customHeight="1">
      <x:c r="A82" s="4" t="str">
        <x:v>克罗地亚</x:v>
      </x:c>
      <x:c r="B82" s="10" t="n">
        <x:v>0.5</x:v>
      </x:c>
      <x:c r="C82" s="13" t="str">
        <x:v>EUR</x:v>
      </x:c>
      <x:c r="D82" s="12" t="n">
        <x:v>1.29</x:v>
      </x:c>
      <x:c r="E82" s="12" t="n">
        <x:v>8.99</x:v>
      </x:c>
      <x:c r="F82" s="12" t="n">
        <x:v>17.99</x:v>
      </x:c>
      <x:c r="G82" s="23" t="n">
        <x:v>12.99</x:v>
      </x:c>
      <x:c r="H82" s="12" t="n">
        <x:v>42.99</x:v>
      </x:c>
      <x:c r="I82" s="12" t="n">
        <x:v>84.99</x:v>
      </x:c>
      <x:c r="J82" s="23" t="n">
        <x:f>ROUND(G82*12,2)</x:f>
        <x:v>155.88</x:v>
      </x:c>
      <x:c r="K82" s="12" t="n">
        <x:v>4.49</x:v>
      </x:c>
      <x:c r="L82" s="12" t="n">
        <x:v>2.19</x:v>
      </x:c>
      <x:c r="M82" s="12" t="n">
        <x:v>2.99</x:v>
      </x:c>
      <x:c r="N82" s="14" t="n">
        <x:f>'Pass测算'!J68</x:f>
        <x:v>0.53</x:v>
      </x:c>
      <x:c r="O82" s="13" t="str">
        <x:v>第3组</x:v>
      </x:c>
      <x:c r="P82" s="13" t="str">
        <x:v>Z050</x:v>
      </x:c>
      <x:c r="Q82" s="13" t="str">
        <x:v>已配置</x:v>
      </x:c>
      <x:c r="R82" s="28" t="n">
        <x:v>35.99</x:v>
      </x:c>
      <x:c r="S82" s="28" t="n">
        <x:v>170.99</x:v>
      </x:c>
    </x:row>
    <x:row r="83" ht="29" customHeight="1">
      <x:c r="A83" s="4" t="str">
        <x:v>萨尔瓦多</x:v>
      </x:c>
      <x:c r="B83" s="10" t="n">
        <x:v>0.35</x:v>
      </x:c>
      <x:c r="C83" s="13" t="str">
        <x:v>USD</x:v>
      </x:c>
      <x:c r="D83" s="12" t="n">
        <x:v>0.99</x:v>
      </x:c>
      <x:c r="E83" s="12" t="n">
        <x:v>6.99</x:v>
      </x:c>
      <x:c r="F83" s="12" t="n">
        <x:v>13.99</x:v>
      </x:c>
      <x:c r="G83" s="23" t="n">
        <x:v>10.99</x:v>
      </x:c>
      <x:c r="H83" s="12" t="n">
        <x:v>33.99</x:v>
      </x:c>
      <x:c r="I83" s="12" t="n">
        <x:v>66.99</x:v>
      </x:c>
      <x:c r="J83" s="23" t="n">
        <x:f>ROUND(G83*12,2)</x:f>
        <x:v>131.88</x:v>
      </x:c>
      <x:c r="K83" s="12" t="n">
        <x:v>3.49</x:v>
      </x:c>
      <x:c r="L83" s="12" t="n">
        <x:v>1.79</x:v>
      </x:c>
      <x:c r="M83" s="12" t="n">
        <x:v>2.49</x:v>
      </x:c>
      <x:c r="N83" s="14" t="n">
        <x:f>'Pass测算'!J42</x:f>
        <x:v>0.6</x:v>
      </x:c>
      <x:c r="O83" s="13" t="str">
        <x:v>第3组</x:v>
      </x:c>
      <x:c r="P83" s="13" t="str">
        <x:v>Z035</x:v>
      </x:c>
      <x:c r="Q83" s="13" t="str">
        <x:v>已配置</x:v>
      </x:c>
      <x:c r="R83" s="28" t="n">
        <x:v>27.99</x:v>
      </x:c>
      <x:c r="S83" s="28" t="n">
        <x:v>133.99</x:v>
      </x:c>
    </x:row>
    <x:row r="84" ht="29" customHeight="1">
      <x:c r="A84" s="4" t="str">
        <x:v>芬兰</x:v>
      </x:c>
      <x:c r="B84" s="10" t="n">
        <x:v>0.8</x:v>
      </x:c>
      <x:c r="C84" s="13" t="str">
        <x:v>EUR</x:v>
      </x:c>
      <x:c r="D84" s="12" t="n">
        <x:v>1.99</x:v>
      </x:c>
      <x:c r="E84" s="12" t="n">
        <x:v>13.99</x:v>
      </x:c>
      <x:c r="F84" s="12" t="n">
        <x:v>27.99</x:v>
      </x:c>
      <x:c r="G84" s="23" t="n">
        <x:v>20.99</x:v>
      </x:c>
      <x:c r="H84" s="12" t="n">
        <x:v>67.99</x:v>
      </x:c>
      <x:c r="I84" s="12" t="n">
        <x:v>136.99</x:v>
      </x:c>
      <x:c r="J84" s="23" t="n">
        <x:f>ROUND(G84*12,2)</x:f>
        <x:v>251.88</x:v>
      </x:c>
      <x:c r="K84" s="12" t="n">
        <x:v>6.99</x:v>
      </x:c>
      <x:c r="L84" s="12" t="n">
        <x:v>3.49</x:v>
      </x:c>
      <x:c r="M84" s="12" t="n">
        <x:v>4.99</x:v>
      </x:c>
      <x:c r="N84" s="14" t="n">
        <x:f>'Pass测算'!J90</x:f>
        <x:v>0.7</x:v>
      </x:c>
      <x:c r="O84" s="13" t="str">
        <x:v>第3组</x:v>
      </x:c>
      <x:c r="P84" s="13" t="str">
        <x:v>Z080</x:v>
      </x:c>
      <x:c r="Q84" s="13" t="str">
        <x:v>已配置</x:v>
      </x:c>
      <x:c r="R84" s="28" t="n">
        <x:v>56.99</x:v>
      </x:c>
      <x:c r="S84" s="28" t="n">
        <x:v>272.99</x:v>
      </x:c>
    </x:row>
    <x:row r="85" ht="29" customHeight="1">
      <x:c r="A85" s="4" t="str">
        <x:v>加蓬</x:v>
      </x:c>
      <x:c r="B85" s="10" t="n">
        <x:v>0.35</x:v>
      </x:c>
      <x:c r="C85" s="13" t="str">
        <x:v>XAF</x:v>
      </x:c>
      <x:c r="D85" s="15" t="n">
        <x:v>609</x:v>
      </x:c>
      <x:c r="E85" s="15" t="n">
        <x:v>4099</x:v>
      </x:c>
      <x:c r="F85" s="15" t="n">
        <x:v>8199</x:v>
      </x:c>
      <x:c r="G85" s="24" t="n">
        <x:v>6099</x:v>
      </x:c>
      <x:c r="H85" s="15" t="n">
        <x:v>19900</x:v>
      </x:c>
      <x:c r="I85" s="15" t="n">
        <x:v>38900</x:v>
      </x:c>
      <x:c r="J85" s="24" t="n">
        <x:f>ROUND(G85*12,2)</x:f>
        <x:v>73188</x:v>
      </x:c>
      <x:c r="K85" s="15" t="n">
        <x:v>1999</x:v>
      </x:c>
      <x:c r="L85" s="15" t="n">
        <x:v>999</x:v>
      </x:c>
      <x:c r="M85" s="15" t="n">
        <x:v>1399</x:v>
      </x:c>
      <x:c r="N85" s="15" t="n">
        <x:f>'Pass测算'!J45</x:f>
        <x:v>350</x:v>
      </x:c>
      <x:c r="O85" s="13" t="str">
        <x:v>第3组</x:v>
      </x:c>
      <x:c r="P85" s="13" t="str">
        <x:v>Z035</x:v>
      </x:c>
      <x:c r="Q85" s="13" t="str">
        <x:v>已配置</x:v>
      </x:c>
      <x:c r="R85" s="29" t="n">
        <x:v>15900</x:v>
      </x:c>
      <x:c r="S85" s="29" t="n">
        <x:v>77900</x:v>
      </x:c>
    </x:row>
    <x:row r="86" ht="29" customHeight="1">
      <x:c r="A86" s="4" t="str">
        <x:v>格鲁吉亚</x:v>
      </x:c>
      <x:c r="B86" s="10" t="n">
        <x:v>0.35</x:v>
      </x:c>
      <x:c r="C86" s="13" t="str">
        <x:v>GEL</x:v>
      </x:c>
      <x:c r="D86" s="12" t="n">
        <x:v>2.49</x:v>
      </x:c>
      <x:c r="E86" s="12" t="n">
        <x:v>17.99</x:v>
      </x:c>
      <x:c r="F86" s="12" t="n">
        <x:v>35.99</x:v>
      </x:c>
      <x:c r="G86" s="23" t="n">
        <x:v>26.99</x:v>
      </x:c>
      <x:c r="H86" s="12" t="n">
        <x:v>86.99</x:v>
      </x:c>
      <x:c r="I86" s="12" t="n">
        <x:v>173.99</x:v>
      </x:c>
      <x:c r="J86" s="23" t="n">
        <x:f>ROUND(G86*12,2)</x:f>
        <x:v>323.88</x:v>
      </x:c>
      <x:c r="K86" s="12" t="n">
        <x:v>8.99</x:v>
      </x:c>
      <x:c r="L86" s="12" t="n">
        <x:v>4.49</x:v>
      </x:c>
      <x:c r="M86" s="12" t="n">
        <x:v>6.49</x:v>
      </x:c>
      <x:c r="N86" s="14" t="n">
        <x:f>'Pass测算'!J46</x:f>
        <x:v>1.6</x:v>
      </x:c>
      <x:c r="O86" s="13" t="str">
        <x:v>第3组</x:v>
      </x:c>
      <x:c r="P86" s="13" t="str">
        <x:v>Z035</x:v>
      </x:c>
      <x:c r="Q86" s="13" t="str">
        <x:v>已配置</x:v>
      </x:c>
      <x:c r="R86" s="28" t="n">
        <x:v>72.99</x:v>
      </x:c>
      <x:c r="S86" s="28" t="n">
        <x:v>348.99</x:v>
      </x:c>
    </x:row>
    <x:row r="87" ht="29" customHeight="1">
      <x:c r="A87" s="4" t="str">
        <x:v>洪都拉斯</x:v>
      </x:c>
      <x:c r="B87" s="10" t="n">
        <x:v>0.3</x:v>
      </x:c>
      <x:c r="C87" s="13" t="str">
        <x:v>HNL</x:v>
      </x:c>
      <x:c r="D87" s="15" t="n">
        <x:v>24</x:v>
      </x:c>
      <x:c r="E87" s="15" t="n">
        <x:v>159</x:v>
      </x:c>
      <x:c r="F87" s="15" t="n">
        <x:v>319</x:v>
      </x:c>
      <x:c r="G87" s="24" t="n">
        <x:v>239</x:v>
      </x:c>
      <x:c r="H87" s="15" t="n">
        <x:v>769</x:v>
      </x:c>
      <x:c r="I87" s="15" t="n">
        <x:v>1499</x:v>
      </x:c>
      <x:c r="J87" s="24" t="n">
        <x:f>ROUND(G87*12,2)</x:f>
        <x:v>2868</x:v>
      </x:c>
      <x:c r="K87" s="15" t="n">
        <x:v>79</x:v>
      </x:c>
      <x:c r="L87" s="15" t="n">
        <x:v>39</x:v>
      </x:c>
      <x:c r="M87" s="15" t="n">
        <x:v>59</x:v>
      </x:c>
      <x:c r="N87" s="15" t="n">
        <x:f>'Pass测算'!J37</x:f>
        <x:v>16</x:v>
      </x:c>
      <x:c r="O87" s="13" t="str">
        <x:v>第3组</x:v>
      </x:c>
      <x:c r="P87" s="13" t="str">
        <x:v>Z030</x:v>
      </x:c>
      <x:c r="Q87" s="13" t="str">
        <x:v>已配置</x:v>
      </x:c>
      <x:c r="R87" s="29" t="n">
        <x:v>649</x:v>
      </x:c>
      <x:c r="S87" s="29" t="n">
        <x:v>3099</x:v>
      </x:c>
    </x:row>
    <x:row r="88" ht="29" customHeight="1">
      <x:c r="A88" s="4" t="str">
        <x:v>匈牙利</x:v>
      </x:c>
      <x:c r="B88" s="10" t="n">
        <x:v>0.5</x:v>
      </x:c>
      <x:c r="C88" s="13" t="str">
        <x:v>HUF</x:v>
      </x:c>
      <x:c r="D88" s="15" t="n">
        <x:v>479</x:v>
      </x:c>
      <x:c r="E88" s="15" t="n">
        <x:v>3199</x:v>
      </x:c>
      <x:c r="F88" s="15" t="n">
        <x:v>6499</x:v>
      </x:c>
      <x:c r="G88" s="24" t="n">
        <x:v>4799</x:v>
      </x:c>
      <x:c r="H88" s="15" t="n">
        <x:v>15499</x:v>
      </x:c>
      <x:c r="I88" s="15" t="n">
        <x:v>30900</x:v>
      </x:c>
      <x:c r="J88" s="24" t="n">
        <x:f>ROUND(G88*12,2)</x:f>
        <x:v>57588</x:v>
      </x:c>
      <x:c r="K88" s="15" t="n">
        <x:v>1599</x:v>
      </x:c>
      <x:c r="L88" s="15" t="n">
        <x:v>809</x:v>
      </x:c>
      <x:c r="M88" s="15" t="n">
        <x:v>1099</x:v>
      </x:c>
      <x:c r="N88" s="15" t="n">
        <x:f>'Pass测算'!J69</x:f>
        <x:v>200</x:v>
      </x:c>
      <x:c r="O88" s="13" t="str">
        <x:v>第3组</x:v>
      </x:c>
      <x:c r="P88" s="13" t="str">
        <x:v>Z050</x:v>
      </x:c>
      <x:c r="Q88" s="13" t="str">
        <x:v>已配置</x:v>
      </x:c>
      <x:c r="R88" s="29" t="n">
        <x:v>12900</x:v>
      </x:c>
      <x:c r="S88" s="29" t="n">
        <x:v>61900</x:v>
      </x:c>
    </x:row>
    <x:row r="89" ht="29" customHeight="1">
      <x:c r="A89" s="4" t="str">
        <x:v>科特迪瓦</x:v>
      </x:c>
      <x:c r="B89" s="10" t="n">
        <x:v>0.25</x:v>
      </x:c>
      <x:c r="C89" s="13" t="str">
        <x:v>XOF</x:v>
      </x:c>
      <x:c r="D89" s="15" t="n">
        <x:v>439</x:v>
      </x:c>
      <x:c r="E89" s="15" t="n">
        <x:v>2899</x:v>
      </x:c>
      <x:c r="F89" s="15" t="n">
        <x:v>5799</x:v>
      </x:c>
      <x:c r="G89" s="24" t="n">
        <x:v>4399</x:v>
      </x:c>
      <x:c r="H89" s="15" t="n">
        <x:v>13900</x:v>
      </x:c>
      <x:c r="I89" s="15" t="n">
        <x:v>27900</x:v>
      </x:c>
      <x:c r="J89" s="24" t="n">
        <x:f>ROUND(G89*12,2)</x:f>
        <x:v>52788</x:v>
      </x:c>
      <x:c r="K89" s="15" t="n">
        <x:v>1499</x:v>
      </x:c>
      <x:c r="L89" s="15" t="n">
        <x:v>729</x:v>
      </x:c>
      <x:c r="M89" s="15" t="n">
        <x:v>999</x:v>
      </x:c>
      <x:c r="N89" s="15" t="n">
        <x:f>'Pass测算'!J30</x:f>
        <x:v>350</x:v>
      </x:c>
      <x:c r="O89" s="13" t="str">
        <x:v>第3组</x:v>
      </x:c>
      <x:c r="P89" s="13" t="str">
        <x:v>Z025</x:v>
      </x:c>
      <x:c r="Q89" s="13" t="str">
        <x:v>已配置</x:v>
      </x:c>
      <x:c r="R89" s="29" t="n">
        <x:v>11900</x:v>
      </x:c>
      <x:c r="S89" s="29" t="n">
        <x:v>55900</x:v>
      </x:c>
    </x:row>
    <x:row r="90" ht="29" customHeight="1">
      <x:c r="A90" s="4" t="str">
        <x:v>哈萨克斯坦</x:v>
      </x:c>
      <x:c r="B90" s="10" t="n">
        <x:v>0.4</x:v>
      </x:c>
      <x:c r="C90" s="13" t="str">
        <x:v>KZT</x:v>
      </x:c>
      <x:c r="D90" s="15" t="n">
        <x:v>539</x:v>
      </x:c>
      <x:c r="E90" s="15" t="n">
        <x:v>3599</x:v>
      </x:c>
      <x:c r="F90" s="15" t="n">
        <x:v>7199</x:v>
      </x:c>
      <x:c r="G90" s="24" t="n">
        <x:v>5399</x:v>
      </x:c>
      <x:c r="H90" s="15" t="n">
        <x:v>16900</x:v>
      </x:c>
      <x:c r="I90" s="15" t="n">
        <x:v>34900</x:v>
      </x:c>
      <x:c r="J90" s="24" t="n">
        <x:f>ROUND(G90*12,2)</x:f>
        <x:v>64788</x:v>
      </x:c>
      <x:c r="K90" s="15" t="n">
        <x:v>1799</x:v>
      </x:c>
      <x:c r="L90" s="15" t="n">
        <x:v>899</x:v>
      </x:c>
      <x:c r="M90" s="15" t="n">
        <x:v>1299</x:v>
      </x:c>
      <x:c r="N90" s="15" t="n">
        <x:f>'Pass测算'!J56</x:f>
        <x:v>280</x:v>
      </x:c>
      <x:c r="O90" s="13" t="str">
        <x:v>第3组</x:v>
      </x:c>
      <x:c r="P90" s="13" t="str">
        <x:v>Z040</x:v>
      </x:c>
      <x:c r="Q90" s="13" t="str">
        <x:v>已配置</x:v>
      </x:c>
      <x:c r="R90" s="29" t="n">
        <x:v>14900</x:v>
      </x:c>
      <x:c r="S90" s="29" t="n">
        <x:v>69900</x:v>
      </x:c>
    </x:row>
    <x:row r="91" ht="29" customHeight="1">
      <x:c r="A91" s="4" t="str">
        <x:v>科威特</x:v>
      </x:c>
      <x:c r="B91" s="10" t="n">
        <x:v>0.65</x:v>
      </x:c>
      <x:c r="C91" s="13" t="str">
        <x:v>USD</x:v>
      </x:c>
      <x:c r="D91" s="12" t="n">
        <x:v>1.94</x:v>
      </x:c>
      <x:c r="E91" s="12" t="n">
        <x:v>12.99</x:v>
      </x:c>
      <x:c r="F91" s="12" t="n">
        <x:v>25.99</x:v>
      </x:c>
      <x:c r="G91" s="23" t="n">
        <x:v>19.49</x:v>
      </x:c>
      <x:c r="H91" s="12" t="n">
        <x:v>62.32</x:v>
      </x:c>
      <x:c r="I91" s="12" t="n">
        <x:v>124.72</x:v>
      </x:c>
      <x:c r="J91" s="23" t="n">
        <x:f>ROUND(G91*12,2)</x:f>
        <x:v>233.88</x:v>
      </x:c>
      <x:c r="K91" s="12" t="n">
        <x:v>6.49</x:v>
      </x:c>
      <x:c r="L91" s="12" t="n">
        <x:v>3.24</x:v>
      </x:c>
      <x:c r="M91" s="12" t="n">
        <x:v>4.54</x:v>
      </x:c>
      <x:c r="N91" s="14" t="n">
        <x:f>'Pass测算'!J85</x:f>
        <x:v>0.65</x:v>
      </x:c>
      <x:c r="O91" s="13" t="str">
        <x:v>第3组</x:v>
      </x:c>
      <x:c r="P91" s="13" t="str">
        <x:v>Z065</x:v>
      </x:c>
      <x:c r="Q91" s="13" t="str">
        <x:v>USD替代已配置</x:v>
      </x:c>
      <x:c r="R91" s="28"/>
      <x:c r="S91" s="28"/>
    </x:row>
    <x:row r="92" ht="29" customHeight="1">
      <x:c r="A92" s="4" t="str">
        <x:v>老挝</x:v>
      </x:c>
      <x:c r="B92" s="10" t="n">
        <x:v>0.2</x:v>
      </x:c>
      <x:c r="C92" s="13" t="str">
        <x:v>LAK</x:v>
      </x:c>
      <x:c r="D92" s="15" t="n">
        <x:v>12900</x:v>
      </x:c>
      <x:c r="E92" s="15" t="n">
        <x:v>88900</x:v>
      </x:c>
      <x:c r="F92" s="15" t="n">
        <x:v>179000</x:v>
      </x:c>
      <x:c r="G92" s="24" t="n">
        <x:v>129000</x:v>
      </x:c>
      <x:c r="H92" s="15" t="n">
        <x:v>429000</x:v>
      </x:c>
      <x:c r="I92" s="15" t="n">
        <x:v>859000</x:v>
      </x:c>
      <x:c r="J92" s="24" t="n">
        <x:f>ROUND(G92*12,2)</x:f>
        <x:v>1548000</x:v>
      </x:c>
      <x:c r="K92" s="15" t="n">
        <x:v>44900</x:v>
      </x:c>
      <x:c r="L92" s="15" t="n">
        <x:v>21900</x:v>
      </x:c>
      <x:c r="M92" s="15" t="n">
        <x:v>30900</x:v>
      </x:c>
      <x:c r="N92" s="15" t="n">
        <x:f>'Pass测算'!J17</x:f>
        <x:v>13400</x:v>
      </x:c>
      <x:c r="O92" s="13" t="str">
        <x:v>第3组</x:v>
      </x:c>
      <x:c r="P92" s="13" t="str">
        <x:v>Z020</x:v>
      </x:c>
      <x:c r="Q92" s="13" t="str">
        <x:v>已配置</x:v>
      </x:c>
      <x:c r="R92" s="29" t="n">
        <x:v>359000</x:v>
      </x:c>
      <x:c r="S92" s="29" t="n">
        <x:v>1690000</x:v>
      </x:c>
    </x:row>
    <x:row r="93" ht="29" customHeight="1">
      <x:c r="A93" s="4" t="str">
        <x:v>拉脱维亚</x:v>
      </x:c>
      <x:c r="B93" s="10" t="n">
        <x:v>0.55</x:v>
      </x:c>
      <x:c r="C93" s="13" t="str">
        <x:v>EUR</x:v>
      </x:c>
      <x:c r="D93" s="12" t="n">
        <x:v>1.49</x:v>
      </x:c>
      <x:c r="E93" s="12" t="n">
        <x:v>9.99</x:v>
      </x:c>
      <x:c r="F93" s="12" t="n">
        <x:v>19.99</x:v>
      </x:c>
      <x:c r="G93" s="23" t="n">
        <x:v>14.99</x:v>
      </x:c>
      <x:c r="H93" s="12" t="n">
        <x:v>46.99</x:v>
      </x:c>
      <x:c r="I93" s="12" t="n">
        <x:v>93.99</x:v>
      </x:c>
      <x:c r="J93" s="23" t="n">
        <x:f>ROUND(G93*12,2)</x:f>
        <x:v>179.88</x:v>
      </x:c>
      <x:c r="K93" s="12" t="n">
        <x:v>4.99</x:v>
      </x:c>
      <x:c r="L93" s="12" t="n">
        <x:v>2.49</x:v>
      </x:c>
      <x:c r="M93" s="12" t="n">
        <x:v>3.49</x:v>
      </x:c>
      <x:c r="N93" s="14" t="n">
        <x:f>'Pass测算'!J74</x:f>
        <x:v>0.53</x:v>
      </x:c>
      <x:c r="O93" s="13" t="str">
        <x:v>第3组</x:v>
      </x:c>
      <x:c r="P93" s="13" t="str">
        <x:v>Z055</x:v>
      </x:c>
      <x:c r="Q93" s="13" t="str">
        <x:v>已配置</x:v>
      </x:c>
      <x:c r="R93" s="28" t="n">
        <x:v>38.99</x:v>
      </x:c>
      <x:c r="S93" s="28" t="n">
        <x:v>187.99</x:v>
      </x:c>
    </x:row>
    <x:row r="94" ht="29" customHeight="1">
      <x:c r="A94" s="4" t="str">
        <x:v>黎巴嫩</x:v>
      </x:c>
      <x:c r="B94" s="10" t="n">
        <x:v>0.35</x:v>
      </x:c>
      <x:c r="C94" s="13" t="str">
        <x:v>LBP</x:v>
      </x:c>
      <x:c r="D94" s="15" t="n">
        <x:v>93900</x:v>
      </x:c>
      <x:c r="E94" s="15" t="n">
        <x:v>629000</x:v>
      </x:c>
      <x:c r="F94" s="15" t="n">
        <x:v>1290000</x:v>
      </x:c>
      <x:c r="G94" s="24" t="n">
        <x:v>939000</x:v>
      </x:c>
      <x:c r="H94" s="15" t="n">
        <x:v>2990000</x:v>
      </x:c>
      <x:c r="I94" s="15" t="n">
        <x:v>6090000</x:v>
      </x:c>
      <x:c r="J94" s="24" t="n">
        <x:f>ROUND(G94*12,2)</x:f>
        <x:v>11268000</x:v>
      </x:c>
      <x:c r="K94" s="15" t="n">
        <x:v>309000</x:v>
      </x:c>
      <x:c r="L94" s="15" t="n">
        <x:v>159000</x:v>
      </x:c>
      <x:c r="M94" s="15" t="n">
        <x:v>219000</x:v>
      </x:c>
      <x:c r="N94" s="15" t="n">
        <x:f>'Pass测算'!J47</x:f>
        <x:v>54000</x:v>
      </x:c>
      <x:c r="O94" s="13" t="str">
        <x:v>第3组</x:v>
      </x:c>
      <x:c r="P94" s="13" t="str">
        <x:v>Z035</x:v>
      </x:c>
      <x:c r="Q94" s="13" t="str">
        <x:v>已配置</x:v>
      </x:c>
      <x:c r="R94" s="29" t="n">
        <x:v>2490000</x:v>
      </x:c>
      <x:c r="S94" s="29" t="n">
        <x:v>11900000</x:v>
      </x:c>
    </x:row>
    <x:row r="95" ht="29" customHeight="1">
      <x:c r="A95" s="4" t="str">
        <x:v>利比里亚</x:v>
      </x:c>
      <x:c r="B95" s="10" t="n">
        <x:v>0.2</x:v>
      </x:c>
      <x:c r="C95" s="13" t="str">
        <x:v>LRD</x:v>
      </x:c>
      <x:c r="D95" s="15" t="n">
        <x:v>99</x:v>
      </x:c>
      <x:c r="E95" s="15" t="n">
        <x:v>679</x:v>
      </x:c>
      <x:c r="F95" s="15" t="n">
        <x:v>1399</x:v>
      </x:c>
      <x:c r="G95" s="24" t="n">
        <x:v>999</x:v>
      </x:c>
      <x:c r="H95" s="15" t="n">
        <x:v>3299</x:v>
      </x:c>
      <x:c r="I95" s="15" t="n">
        <x:v>6599</x:v>
      </x:c>
      <x:c r="J95" s="24" t="n">
        <x:f>ROUND(G95*12,2)</x:f>
        <x:v>11988</x:v>
      </x:c>
      <x:c r="K95" s="15" t="n">
        <x:v>339</x:v>
      </x:c>
      <x:c r="L95" s="15" t="n">
        <x:v>169</x:v>
      </x:c>
      <x:c r="M95" s="15" t="n">
        <x:v>239</x:v>
      </x:c>
      <x:c r="N95" s="15" t="n">
        <x:f>'Pass测算'!J18</x:f>
        <x:v>110</x:v>
      </x:c>
      <x:c r="O95" s="13" t="str">
        <x:v>第3组</x:v>
      </x:c>
      <x:c r="P95" s="13" t="str">
        <x:v>Z020</x:v>
      </x:c>
      <x:c r="Q95" s="13" t="str">
        <x:v>已配置</x:v>
      </x:c>
      <x:c r="R95" s="29" t="n">
        <x:v>2699</x:v>
      </x:c>
      <x:c r="S95" s="29" t="n">
        <x:v>12900</x:v>
      </x:c>
    </x:row>
    <x:row r="96" ht="29" customHeight="1">
      <x:c r="A96" s="4" t="str">
        <x:v>卢森堡</x:v>
      </x:c>
      <x:c r="B96" s="10" t="n">
        <x:v>0.95</x:v>
      </x:c>
      <x:c r="C96" s="13" t="str">
        <x:v>EUR</x:v>
      </x:c>
      <x:c r="D96" s="12" t="n">
        <x:v>2.49</x:v>
      </x:c>
      <x:c r="E96" s="12" t="n">
        <x:v>16.99</x:v>
      </x:c>
      <x:c r="F96" s="12" t="n">
        <x:v>33.99</x:v>
      </x:c>
      <x:c r="G96" s="23" t="n">
        <x:v>24.99</x:v>
      </x:c>
      <x:c r="H96" s="12" t="n">
        <x:v>80.99</x:v>
      </x:c>
      <x:c r="I96" s="12" t="n">
        <x:v>161.99</x:v>
      </x:c>
      <x:c r="J96" s="23" t="n">
        <x:f>ROUND(G96*12,2)</x:f>
        <x:v>299.88</x:v>
      </x:c>
      <x:c r="K96" s="12" t="n">
        <x:v>8.49</x:v>
      </x:c>
      <x:c r="L96" s="12" t="n">
        <x:v>3.99</x:v>
      </x:c>
      <x:c r="M96" s="12" t="n">
        <x:v>5.99</x:v>
      </x:c>
      <x:c r="N96" s="14" t="n">
        <x:f>'Pass测算'!J100</x:f>
        <x:v>0.83</x:v>
      </x:c>
      <x:c r="O96" s="13" t="str">
        <x:v>第3组</x:v>
      </x:c>
      <x:c r="P96" s="13" t="str">
        <x:v>Z095</x:v>
      </x:c>
      <x:c r="Q96" s="13" t="str">
        <x:v>已配置</x:v>
      </x:c>
      <x:c r="R96" s="28" t="n">
        <x:v>67.99</x:v>
      </x:c>
      <x:c r="S96" s="28" t="n">
        <x:v>323.99</x:v>
      </x:c>
    </x:row>
    <x:row r="97" ht="29" customHeight="1">
      <x:c r="A97" s="4" t="str">
        <x:v>马尔代夫</x:v>
      </x:c>
      <x:c r="B97" s="10" t="n">
        <x:v>0.45</x:v>
      </x:c>
      <x:c r="C97" s="13" t="str">
        <x:v>MVR</x:v>
      </x:c>
      <x:c r="D97" s="12" t="n">
        <x:v>20.99</x:v>
      </x:c>
      <x:c r="E97" s="12" t="n">
        <x:v>138.99</x:v>
      </x:c>
      <x:c r="F97" s="12" t="n">
        <x:v>277.99</x:v>
      </x:c>
      <x:c r="G97" s="23" t="n">
        <x:v>208.99</x:v>
      </x:c>
      <x:c r="H97" s="12" t="n">
        <x:v>666.99</x:v>
      </x:c>
      <x:c r="I97" s="12" t="n">
        <x:v>1333.99</x:v>
      </x:c>
      <x:c r="J97" s="23" t="n">
        <x:f>ROUND(G97*12,2)</x:f>
        <x:v>2507.88</x:v>
      </x:c>
      <x:c r="K97" s="12" t="n">
        <x:v>68.99</x:v>
      </x:c>
      <x:c r="L97" s="12" t="n">
        <x:v>34.99</x:v>
      </x:c>
      <x:c r="M97" s="12" t="n">
        <x:v>48.99</x:v>
      </x:c>
      <x:c r="N97" s="14" t="n">
        <x:f>'Pass测算'!J65</x:f>
        <x:v>9.3</x:v>
      </x:c>
      <x:c r="O97" s="13" t="str">
        <x:v>第3组</x:v>
      </x:c>
      <x:c r="P97" s="13" t="str">
        <x:v>Z045</x:v>
      </x:c>
      <x:c r="Q97" s="13" t="str">
        <x:v>已配置</x:v>
      </x:c>
      <x:c r="R97" s="28" t="n">
        <x:v>555.99</x:v>
      </x:c>
      <x:c r="S97" s="28" t="n">
        <x:v>2668.99</x:v>
      </x:c>
    </x:row>
    <x:row r="98" ht="29" customHeight="1">
      <x:c r="A98" s="4" t="str">
        <x:v>摩尔多瓦</x:v>
      </x:c>
      <x:c r="B98" s="10" t="n">
        <x:v>0.35</x:v>
      </x:c>
      <x:c r="C98" s="13" t="str">
        <x:v>MDL</x:v>
      </x:c>
      <x:c r="D98" s="12" t="n">
        <x:v>18.99</x:v>
      </x:c>
      <x:c r="E98" s="12" t="n">
        <x:v>124.99</x:v>
      </x:c>
      <x:c r="F98" s="12" t="n">
        <x:v>250.99</x:v>
      </x:c>
      <x:c r="G98" s="23" t="n">
        <x:v>187.99</x:v>
      </x:c>
      <x:c r="H98" s="12" t="n">
        <x:v>600.99</x:v>
      </x:c>
      <x:c r="I98" s="12" t="n">
        <x:v>1202.99</x:v>
      </x:c>
      <x:c r="J98" s="23" t="n">
        <x:f>ROUND(G98*12,2)</x:f>
        <x:v>2255.88</x:v>
      </x:c>
      <x:c r="K98" s="12" t="n">
        <x:v>62.99</x:v>
      </x:c>
      <x:c r="L98" s="12" t="n">
        <x:v>30.99</x:v>
      </x:c>
      <x:c r="M98" s="12" t="n">
        <x:v>43.99</x:v>
      </x:c>
      <x:c r="N98" s="15" t="n">
        <x:f>'Pass测算'!J48</x:f>
        <x:v>11</x:v>
      </x:c>
      <x:c r="O98" s="13" t="str">
        <x:v>第3组</x:v>
      </x:c>
      <x:c r="P98" s="13" t="str">
        <x:v>Z035</x:v>
      </x:c>
      <x:c r="Q98" s="13" t="str">
        <x:v>已配置</x:v>
      </x:c>
      <x:c r="R98" s="28" t="n">
        <x:v>501.99</x:v>
      </x:c>
      <x:c r="S98" s="28" t="n">
        <x:v>2406.99</x:v>
      </x:c>
    </x:row>
    <x:row r="99" ht="29" customHeight="1">
      <x:c r="A99" s="4" t="str">
        <x:v>蒙古</x:v>
      </x:c>
      <x:c r="B99" s="10" t="n">
        <x:v>0.3</x:v>
      </x:c>
      <x:c r="C99" s="13" t="str">
        <x:v>MNT</x:v>
      </x:c>
      <x:c r="D99" s="15" t="n">
        <x:v>3199</x:v>
      </x:c>
      <x:c r="E99" s="15" t="n">
        <x:v>21900</x:v>
      </x:c>
      <x:c r="F99" s="15" t="n">
        <x:v>42900</x:v>
      </x:c>
      <x:c r="G99" s="24" t="n">
        <x:v>32900</x:v>
      </x:c>
      <x:c r="H99" s="15" t="n">
        <x:v>103900</x:v>
      </x:c>
      <x:c r="I99" s="15" t="n">
        <x:v>209000</x:v>
      </x:c>
      <x:c r="J99" s="24" t="n">
        <x:f>ROUND(G99*12,2)</x:f>
        <x:v>394800</x:v>
      </x:c>
      <x:c r="K99" s="15" t="n">
        <x:v>10900</x:v>
      </x:c>
      <x:c r="L99" s="15" t="n">
        <x:v>5399</x:v>
      </x:c>
      <x:c r="M99" s="15" t="n">
        <x:v>7599</x:v>
      </x:c>
      <x:c r="N99" s="15" t="n">
        <x:f>'Pass测算'!J38</x:f>
        <x:v>2200</x:v>
      </x:c>
      <x:c r="O99" s="13" t="str">
        <x:v>第3组</x:v>
      </x:c>
      <x:c r="P99" s="13" t="str">
        <x:v>Z030</x:v>
      </x:c>
      <x:c r="Q99" s="13" t="str">
        <x:v>已配置</x:v>
      </x:c>
      <x:c r="R99" s="29" t="n">
        <x:v>86900</x:v>
      </x:c>
      <x:c r="S99" s="29" t="n">
        <x:v>419000</x:v>
      </x:c>
    </x:row>
    <x:row r="100" ht="29" customHeight="1">
      <x:c r="A100" s="4" t="str">
        <x:v>黑山</x:v>
      </x:c>
      <x:c r="B100" s="10" t="n">
        <x:v>0.4</x:v>
      </x:c>
      <x:c r="C100" s="13" t="str">
        <x:v>EUR</x:v>
      </x:c>
      <x:c r="D100" s="12" t="n">
        <x:v>0.99</x:v>
      </x:c>
      <x:c r="E100" s="12" t="n">
        <x:v>6.99</x:v>
      </x:c>
      <x:c r="F100" s="12" t="n">
        <x:v>13.99</x:v>
      </x:c>
      <x:c r="G100" s="23" t="n">
        <x:v>10.99</x:v>
      </x:c>
      <x:c r="H100" s="12" t="n">
        <x:v>33.99</x:v>
      </x:c>
      <x:c r="I100" s="12" t="n">
        <x:v>67.99</x:v>
      </x:c>
      <x:c r="J100" s="23" t="n">
        <x:f>ROUND(G100*12,2)</x:f>
        <x:v>131.88</x:v>
      </x:c>
      <x:c r="K100" s="12" t="n">
        <x:v>3.49</x:v>
      </x:c>
      <x:c r="L100" s="12" t="n">
        <x:v>1.79</x:v>
      </x:c>
      <x:c r="M100" s="12" t="n">
        <x:v>2.49</x:v>
      </x:c>
      <x:c r="N100" s="14" t="n">
        <x:f>'Pass测算'!J57</x:f>
        <x:v>0.53</x:v>
      </x:c>
      <x:c r="O100" s="13" t="str">
        <x:v>第3组</x:v>
      </x:c>
      <x:c r="P100" s="13" t="str">
        <x:v>Z040</x:v>
      </x:c>
      <x:c r="Q100" s="13" t="str">
        <x:v>已配置</x:v>
      </x:c>
      <x:c r="R100" s="28" t="n">
        <x:v>27.99</x:v>
      </x:c>
      <x:c r="S100" s="28" t="n">
        <x:v>136.99</x:v>
      </x:c>
    </x:row>
    <x:row r="101" ht="29" customHeight="1">
      <x:c r="A101" s="4" t="str">
        <x:v>缅甸</x:v>
      </x:c>
      <x:c r="B101" s="10" t="n">
        <x:v>0.2</x:v>
      </x:c>
      <x:c r="C101" s="13" t="str">
        <x:v>MMK</x:v>
      </x:c>
      <x:c r="D101" s="15" t="n">
        <x:v>1299</x:v>
      </x:c>
      <x:c r="E101" s="15" t="n">
        <x:v>8399</x:v>
      </x:c>
      <x:c r="F101" s="15" t="n">
        <x:v>16900</x:v>
      </x:c>
      <x:c r="G101" s="24" t="n">
        <x:v>12900</x:v>
      </x:c>
      <x:c r="H101" s="15" t="n">
        <x:v>39900</x:v>
      </x:c>
      <x:c r="I101" s="15" t="n">
        <x:v>80900</x:v>
      </x:c>
      <x:c r="J101" s="24" t="n">
        <x:f>ROUND(G101*12,2)</x:f>
        <x:v>154800</x:v>
      </x:c>
      <x:c r="K101" s="15" t="n">
        <x:v>4199</x:v>
      </x:c>
      <x:c r="L101" s="15" t="n">
        <x:v>2099</x:v>
      </x:c>
      <x:c r="M101" s="15" t="n">
        <x:v>2899</x:v>
      </x:c>
      <x:c r="N101" s="15" t="n">
        <x:f>'Pass测算'!J19</x:f>
        <x:v>1300</x:v>
      </x:c>
      <x:c r="O101" s="13" t="str">
        <x:v>第3组</x:v>
      </x:c>
      <x:c r="P101" s="13" t="str">
        <x:v>Z020</x:v>
      </x:c>
      <x:c r="Q101" s="13" t="str">
        <x:v>已配置</x:v>
      </x:c>
      <x:c r="R101" s="29" t="n">
        <x:v>33900</x:v>
      </x:c>
      <x:c r="S101" s="29" t="n">
        <x:v>159000</x:v>
      </x:c>
    </x:row>
    <x:row r="102" ht="29" customHeight="1">
      <x:c r="A102" s="4" t="str">
        <x:v>尼泊尔</x:v>
      </x:c>
      <x:c r="B102" s="10" t="n">
        <x:v>0.2</x:v>
      </x:c>
      <x:c r="C102" s="13" t="str">
        <x:v>NPR</x:v>
      </x:c>
      <x:c r="D102" s="15" t="n">
        <x:v>89</x:v>
      </x:c>
      <x:c r="E102" s="15" t="n">
        <x:v>609</x:v>
      </x:c>
      <x:c r="F102" s="15" t="n">
        <x:v>1199</x:v>
      </x:c>
      <x:c r="G102" s="24" t="n">
        <x:v>909</x:v>
      </x:c>
      <x:c r="H102" s="15" t="n">
        <x:v>2899</x:v>
      </x:c>
      <x:c r="I102" s="15" t="n">
        <x:v>5799</x:v>
      </x:c>
      <x:c r="J102" s="24" t="n">
        <x:f>ROUND(G102*12,2)</x:f>
        <x:v>10908</x:v>
      </x:c>
      <x:c r="K102" s="15" t="n">
        <x:v>309</x:v>
      </x:c>
      <x:c r="L102" s="15" t="n">
        <x:v>149</x:v>
      </x:c>
      <x:c r="M102" s="15" t="n">
        <x:v>209</x:v>
      </x:c>
      <x:c r="N102" s="15" t="n">
        <x:f>'Pass测算'!J20</x:f>
        <x:v>92</x:v>
      </x:c>
      <x:c r="O102" s="13" t="str">
        <x:v>第3组</x:v>
      </x:c>
      <x:c r="P102" s="13" t="str">
        <x:v>Z020</x:v>
      </x:c>
      <x:c r="Q102" s="13" t="str">
        <x:v>已配置</x:v>
      </x:c>
      <x:c r="R102" s="29" t="n">
        <x:v>2399</x:v>
      </x:c>
      <x:c r="S102" s="29" t="n">
        <x:v>11699</x:v>
      </x:c>
    </x:row>
    <x:row r="103" ht="29" customHeight="1">
      <x:c r="A103" s="4" t="str">
        <x:v>挪威</x:v>
      </x:c>
      <x:c r="B103" s="10" t="n">
        <x:v>1</x:v>
      </x:c>
      <x:c r="C103" s="13" t="str">
        <x:v>NOK</x:v>
      </x:c>
      <x:c r="D103" s="12" t="n">
        <x:v>27.99</x:v>
      </x:c>
      <x:c r="E103" s="12" t="n">
        <x:v>188.99</x:v>
      </x:c>
      <x:c r="F103" s="12" t="n">
        <x:v>376.99</x:v>
      </x:c>
      <x:c r="G103" s="23" t="n">
        <x:v>282.99</x:v>
      </x:c>
      <x:c r="H103" s="12" t="n">
        <x:v>904.99</x:v>
      </x:c>
      <x:c r="I103" s="12" t="n">
        <x:v>1810.99</x:v>
      </x:c>
      <x:c r="J103" s="23" t="n">
        <x:f>ROUND(G103*12,2)</x:f>
        <x:v>3395.88</x:v>
      </x:c>
      <x:c r="K103" s="12" t="n">
        <x:v>93.99</x:v>
      </x:c>
      <x:c r="L103" s="12" t="n">
        <x:v>46.99</x:v>
      </x:c>
      <x:c r="M103" s="12" t="n">
        <x:v>65.99</x:v>
      </x:c>
      <x:c r="N103" s="14" t="n">
        <x:f>'Pass测算'!J104</x:f>
        <x:v>9.4</x:v>
      </x:c>
      <x:c r="O103" s="13" t="str">
        <x:v>第3组</x:v>
      </x:c>
      <x:c r="P103" s="13" t="str">
        <x:v>Z100</x:v>
      </x:c>
      <x:c r="Q103" s="13" t="str">
        <x:v>已配置</x:v>
      </x:c>
      <x:c r="R103" s="28" t="n">
        <x:v>754.99</x:v>
      </x:c>
      <x:c r="S103" s="28" t="n">
        <x:v>3622.99</x:v>
      </x:c>
    </x:row>
    <x:row r="104" ht="29" customHeight="1">
      <x:c r="A104" s="4" t="str">
        <x:v>阿曼</x:v>
      </x:c>
      <x:c r="B104" s="10" t="n">
        <x:v>0.5</x:v>
      </x:c>
      <x:c r="C104" s="13" t="str">
        <x:v>USD</x:v>
      </x:c>
      <x:c r="D104" s="12" t="n">
        <x:v>1.49</x:v>
      </x:c>
      <x:c r="E104" s="12" t="n">
        <x:v>9.99</x:v>
      </x:c>
      <x:c r="F104" s="12" t="n">
        <x:v>19.99</x:v>
      </x:c>
      <x:c r="G104" s="23" t="n">
        <x:v>14.99</x:v>
      </x:c>
      <x:c r="H104" s="12" t="n">
        <x:v>47.99</x:v>
      </x:c>
      <x:c r="I104" s="12" t="n">
        <x:v>95.99</x:v>
      </x:c>
      <x:c r="J104" s="23" t="n">
        <x:f>ROUND(G104*12,2)</x:f>
        <x:v>179.88</x:v>
      </x:c>
      <x:c r="K104" s="12" t="n">
        <x:v>4.99</x:v>
      </x:c>
      <x:c r="L104" s="12" t="n">
        <x:v>2.49</x:v>
      </x:c>
      <x:c r="M104" s="12" t="n">
        <x:v>3.49</x:v>
      </x:c>
      <x:c r="N104" s="14" t="n">
        <x:f>'Pass测算'!J66</x:f>
        <x:v>0.6</x:v>
      </x:c>
      <x:c r="O104" s="13" t="str">
        <x:v>第3组</x:v>
      </x:c>
      <x:c r="P104" s="13" t="str">
        <x:v>Z050</x:v>
      </x:c>
      <x:c r="Q104" s="13" t="str">
        <x:v>USD替代已配置</x:v>
      </x:c>
      <x:c r="R104" s="28"/>
      <x:c r="S104" s="28"/>
    </x:row>
    <x:row r="105" ht="29" customHeight="1">
      <x:c r="A105" s="4" t="str">
        <x:v>巴布亚新几内亚</x:v>
      </x:c>
      <x:c r="B105" s="10" t="n">
        <x:v>0.4</x:v>
      </x:c>
      <x:c r="C105" s="13" t="str">
        <x:v>PGK</x:v>
      </x:c>
      <x:c r="D105" s="12" t="n">
        <x:v>5.49</x:v>
      </x:c>
      <x:c r="E105" s="12" t="n">
        <x:v>35.99</x:v>
      </x:c>
      <x:c r="F105" s="12" t="n">
        <x:v>71.99</x:v>
      </x:c>
      <x:c r="G105" s="23" t="n">
        <x:v>53.99</x:v>
      </x:c>
      <x:c r="H105" s="12" t="n">
        <x:v>172.99</x:v>
      </x:c>
      <x:c r="I105" s="12" t="n">
        <x:v>346.99</x:v>
      </x:c>
      <x:c r="J105" s="23" t="n">
        <x:f>ROUND(G105*12,2)</x:f>
        <x:v>647.88</x:v>
      </x:c>
      <x:c r="K105" s="12" t="n">
        <x:v>17.99</x:v>
      </x:c>
      <x:c r="L105" s="12" t="n">
        <x:v>8.99</x:v>
      </x:c>
      <x:c r="M105" s="12" t="n">
        <x:v>12.99</x:v>
      </x:c>
      <x:c r="N105" s="14" t="n">
        <x:f>'Pass测算'!J58</x:f>
        <x:v>2.8</x:v>
      </x:c>
      <x:c r="O105" s="13" t="str">
        <x:v>第3组</x:v>
      </x:c>
      <x:c r="P105" s="13" t="str">
        <x:v>Z040</x:v>
      </x:c>
      <x:c r="Q105" s="13" t="str">
        <x:v>已配置</x:v>
      </x:c>
      <x:c r="R105" s="28" t="n">
        <x:v>144.99</x:v>
      </x:c>
      <x:c r="S105" s="28" t="n">
        <x:v>693.99</x:v>
      </x:c>
    </x:row>
    <x:row r="106" ht="29" customHeight="1">
      <x:c r="A106" s="4" t="str">
        <x:v>波兰</x:v>
      </x:c>
      <x:c r="B106" s="10" t="n">
        <x:v>0.5</x:v>
      </x:c>
      <x:c r="C106" s="13" t="str">
        <x:v>PLN</x:v>
      </x:c>
      <x:c r="D106" s="12" t="n">
        <x:v>5.99</x:v>
      </x:c>
      <x:c r="E106" s="12" t="n">
        <x:v>38.99</x:v>
      </x:c>
      <x:c r="F106" s="12" t="n">
        <x:v>77.99</x:v>
      </x:c>
      <x:c r="G106" s="23" t="n">
        <x:v>57.99</x:v>
      </x:c>
      <x:c r="H106" s="12" t="n">
        <x:v>185.99</x:v>
      </x:c>
      <x:c r="I106" s="12" t="n">
        <x:v>372.99</x:v>
      </x:c>
      <x:c r="J106" s="23" t="n">
        <x:f>ROUND(G106*12,2)</x:f>
        <x:v>695.88</x:v>
      </x:c>
      <x:c r="K106" s="12" t="n">
        <x:v>18.99</x:v>
      </x:c>
      <x:c r="L106" s="12" t="n">
        <x:v>9.49</x:v>
      </x:c>
      <x:c r="M106" s="12" t="n">
        <x:v>13.99</x:v>
      </x:c>
      <x:c r="N106" s="14" t="n">
        <x:f>'Pass测算'!J70</x:f>
        <x:v>2.4</x:v>
      </x:c>
      <x:c r="O106" s="13" t="str">
        <x:v>第3组</x:v>
      </x:c>
      <x:c r="P106" s="13" t="str">
        <x:v>Z050</x:v>
      </x:c>
      <x:c r="Q106" s="13" t="str">
        <x:v>已配置</x:v>
      </x:c>
      <x:c r="R106" s="28" t="n">
        <x:v>154.99</x:v>
      </x:c>
      <x:c r="S106" s="28" t="n">
        <x:v>745.99</x:v>
      </x:c>
    </x:row>
    <x:row r="107" ht="29" customHeight="1">
      <x:c r="A107" s="4" t="str">
        <x:v>波多黎各</x:v>
      </x:c>
      <x:c r="B107" s="10" t="n">
        <x:v>0.55</x:v>
      </x:c>
      <x:c r="C107" s="13" t="str">
        <x:v>USD</x:v>
      </x:c>
      <x:c r="D107" s="12" t="n">
        <x:v>1.49</x:v>
      </x:c>
      <x:c r="E107" s="12" t="n">
        <x:v>10.99</x:v>
      </x:c>
      <x:c r="F107" s="12" t="n">
        <x:v>21.99</x:v>
      </x:c>
      <x:c r="G107" s="23" t="n">
        <x:v>16.99</x:v>
      </x:c>
      <x:c r="H107" s="12" t="n">
        <x:v>52.99</x:v>
      </x:c>
      <x:c r="I107" s="12" t="n">
        <x:v>105.99</x:v>
      </x:c>
      <x:c r="J107" s="23" t="n">
        <x:f>ROUND(G107*12,2)</x:f>
        <x:v>203.88</x:v>
      </x:c>
      <x:c r="K107" s="12" t="n">
        <x:v>5.49</x:v>
      </x:c>
      <x:c r="L107" s="12" t="n">
        <x:v>2.49</x:v>
      </x:c>
      <x:c r="M107" s="12" t="n">
        <x:v>3.99</x:v>
      </x:c>
      <x:c r="N107" s="14" t="n">
        <x:f>'Pass测算'!J77</x:f>
        <x:v>0.6</x:v>
      </x:c>
      <x:c r="O107" s="13" t="str">
        <x:v>第3组</x:v>
      </x:c>
      <x:c r="P107" s="13" t="str">
        <x:v>Z055</x:v>
      </x:c>
      <x:c r="Q107" s="13" t="str">
        <x:v>已配置</x:v>
      </x:c>
      <x:c r="R107" s="28" t="n">
        <x:v>43.99</x:v>
      </x:c>
      <x:c r="S107" s="28" t="n">
        <x:v>210.99</x:v>
      </x:c>
    </x:row>
    <x:row r="108" ht="29" customHeight="1">
      <x:c r="A108" s="4" t="str">
        <x:v>塞尔维亚</x:v>
      </x:c>
      <x:c r="B108" s="10" t="n">
        <x:v>0.4</x:v>
      </x:c>
      <x:c r="C108" s="13" t="str">
        <x:v>RSD</x:v>
      </x:c>
      <x:c r="D108" s="15" t="n">
        <x:v>129</x:v>
      </x:c>
      <x:c r="E108" s="15" t="n">
        <x:v>839</x:v>
      </x:c>
      <x:c r="F108" s="15" t="n">
        <x:v>1699</x:v>
      </x:c>
      <x:c r="G108" s="24" t="n">
        <x:v>1299</x:v>
      </x:c>
      <x:c r="H108" s="15" t="n">
        <x:v>3999</x:v>
      </x:c>
      <x:c r="I108" s="15" t="n">
        <x:v>7999</x:v>
      </x:c>
      <x:c r="J108" s="24" t="n">
        <x:f>ROUND(G108*12,2)</x:f>
        <x:v>15588</x:v>
      </x:c>
      <x:c r="K108" s="15" t="n">
        <x:v>419</x:v>
      </x:c>
      <x:c r="L108" s="15" t="n">
        <x:v>209</x:v>
      </x:c>
      <x:c r="M108" s="15" t="n">
        <x:v>289</x:v>
      </x:c>
      <x:c r="N108" s="15" t="n">
        <x:f>'Pass测算'!J59</x:f>
        <x:v>63</x:v>
      </x:c>
      <x:c r="O108" s="13" t="str">
        <x:v>第3组</x:v>
      </x:c>
      <x:c r="P108" s="13" t="str">
        <x:v>Z040</x:v>
      </x:c>
      <x:c r="Q108" s="13" t="str">
        <x:v>已配置</x:v>
      </x:c>
      <x:c r="R108" s="29" t="n">
        <x:v>3299</x:v>
      </x:c>
      <x:c r="S108" s="29" t="n">
        <x:v>15900</x:v>
      </x:c>
    </x:row>
    <x:row r="109" ht="29" customHeight="1">
      <x:c r="A109" s="4" t="str">
        <x:v>塞舌尔</x:v>
      </x:c>
      <x:c r="B109" s="10" t="n">
        <x:v>0.5</x:v>
      </x:c>
      <x:c r="C109" s="13" t="str">
        <x:v>SCR</x:v>
      </x:c>
      <x:c r="D109" s="12" t="n">
        <x:v>21.99</x:v>
      </x:c>
      <x:c r="E109" s="12" t="n">
        <x:v>145.99</x:v>
      </x:c>
      <x:c r="F109" s="12" t="n">
        <x:v>290.99</x:v>
      </x:c>
      <x:c r="G109" s="23" t="n">
        <x:v>217.99</x:v>
      </x:c>
      <x:c r="H109" s="12" t="n">
        <x:v>697.99</x:v>
      </x:c>
      <x:c r="I109" s="12" t="n">
        <x:v>1397.99</x:v>
      </x:c>
      <x:c r="J109" s="23" t="n">
        <x:f>ROUND(G109*12,2)</x:f>
        <x:v>2615.88</x:v>
      </x:c>
      <x:c r="K109" s="12" t="n">
        <x:v>72.99</x:v>
      </x:c>
      <x:c r="L109" s="12" t="n">
        <x:v>35.99</x:v>
      </x:c>
      <x:c r="M109" s="12" t="n">
        <x:v>50.99</x:v>
      </x:c>
      <x:c r="N109" s="14" t="n">
        <x:f>'Pass测算'!J71</x:f>
        <x:v>8.8</x:v>
      </x:c>
      <x:c r="O109" s="13" t="str">
        <x:v>第3组</x:v>
      </x:c>
      <x:c r="P109" s="13" t="str">
        <x:v>Z050</x:v>
      </x:c>
      <x:c r="Q109" s="13" t="str">
        <x:v>已配置</x:v>
      </x:c>
      <x:c r="R109" s="28" t="n">
        <x:v>582.99</x:v>
      </x:c>
      <x:c r="S109" s="28" t="n">
        <x:v>2795.99</x:v>
      </x:c>
    </x:row>
    <x:row r="110" ht="29" customHeight="1">
      <x:c r="A110" s="4" t="str">
        <x:v>斯洛伐克</x:v>
      </x:c>
      <x:c r="B110" s="10" t="n">
        <x:v>0.55</x:v>
      </x:c>
      <x:c r="C110" s="13" t="str">
        <x:v>EUR</x:v>
      </x:c>
      <x:c r="D110" s="12" t="n">
        <x:v>1.49</x:v>
      </x:c>
      <x:c r="E110" s="12" t="n">
        <x:v>9.99</x:v>
      </x:c>
      <x:c r="F110" s="12" t="n">
        <x:v>19.99</x:v>
      </x:c>
      <x:c r="G110" s="23" t="n">
        <x:v>14.99</x:v>
      </x:c>
      <x:c r="H110" s="12" t="n">
        <x:v>46.99</x:v>
      </x:c>
      <x:c r="I110" s="12" t="n">
        <x:v>93.99</x:v>
      </x:c>
      <x:c r="J110" s="23" t="n">
        <x:f>ROUND(G110*12,2)</x:f>
        <x:v>179.88</x:v>
      </x:c>
      <x:c r="K110" s="12" t="n">
        <x:v>4.99</x:v>
      </x:c>
      <x:c r="L110" s="12" t="n">
        <x:v>2.49</x:v>
      </x:c>
      <x:c r="M110" s="12" t="n">
        <x:v>3.49</x:v>
      </x:c>
      <x:c r="N110" s="14" t="n">
        <x:f>'Pass测算'!J74</x:f>
        <x:v>0.53</x:v>
      </x:c>
      <x:c r="O110" s="13" t="str">
        <x:v>第3组</x:v>
      </x:c>
      <x:c r="P110" s="13" t="str">
        <x:v>Z055</x:v>
      </x:c>
      <x:c r="Q110" s="13" t="str">
        <x:v>已配置</x:v>
      </x:c>
      <x:c r="R110" s="28" t="n">
        <x:v>38.99</x:v>
      </x:c>
      <x:c r="S110" s="28" t="n">
        <x:v>187.99</x:v>
      </x:c>
    </x:row>
    <x:row r="111" ht="29" customHeight="1">
      <x:c r="A111" s="16" t="str">
        <x:v>瑞典</x:v>
      </x:c>
      <x:c r="B111" s="17" t="n">
        <x:v>0.85</x:v>
      </x:c>
      <x:c r="C111" s="18" t="str">
        <x:v>SEK</x:v>
      </x:c>
      <x:c r="D111" s="21" t="n">
        <x:v>24.99</x:v>
      </x:c>
      <x:c r="E111" s="21" t="n">
        <x:v>167.99</x:v>
      </x:c>
      <x:c r="F111" s="21" t="n">
        <x:v>336.99</x:v>
      </x:c>
      <x:c r="G111" s="26" t="n">
        <x:v>252.99</x:v>
      </x:c>
      <x:c r="H111" s="21" t="n">
        <x:v>807.99</x:v>
      </x:c>
      <x:c r="I111" s="21" t="n">
        <x:v>1615.99</x:v>
      </x:c>
      <x:c r="J111" s="26" t="n">
        <x:f>ROUND(G111*12,2)</x:f>
        <x:v>3035.88</x:v>
      </x:c>
      <x:c r="K111" s="21" t="n">
        <x:v>83.99</x:v>
      </x:c>
      <x:c r="L111" s="21" t="n">
        <x:v>41.99</x:v>
      </x:c>
      <x:c r="M111" s="21" t="n">
        <x:v>58.99</x:v>
      </x:c>
      <x:c r="N111" s="20" t="n">
        <x:f>'Pass测算'!J96</x:f>
        <x:v>8.4</x:v>
      </x:c>
      <x:c r="O111" s="18" t="str">
        <x:v>第1组</x:v>
      </x:c>
      <x:c r="P111" s="18" t="str">
        <x:v>Z085</x:v>
      </x:c>
      <x:c r="Q111" s="18" t="str">
        <x:v>已配置</x:v>
      </x:c>
      <x:c r="R111" s="28" t="n">
        <x:v>673.99</x:v>
      </x:c>
      <x:c r="S111" s="28" t="n">
        <x:v>3233.99</x:v>
      </x:c>
    </x:row>
    <x:row r="112" ht="29" customHeight="1">
      <x:c r="A112" s="4" t="str">
        <x:v>特立尼达和多巴哥</x:v>
      </x:c>
      <x:c r="B112" s="10" t="n">
        <x:v>0.5</x:v>
      </x:c>
      <x:c r="C112" s="13" t="str">
        <x:v>TTD</x:v>
      </x:c>
      <x:c r="D112" s="12" t="n">
        <x:v>9.99</x:v>
      </x:c>
      <x:c r="E112" s="12" t="n">
        <x:v>67.99</x:v>
      </x:c>
      <x:c r="F112" s="12" t="n">
        <x:v>134.99</x:v>
      </x:c>
      <x:c r="G112" s="23" t="n">
        <x:v>100.99</x:v>
      </x:c>
      <x:c r="H112" s="12" t="n">
        <x:v>323.99</x:v>
      </x:c>
      <x:c r="I112" s="12" t="n">
        <x:v>647.99</x:v>
      </x:c>
      <x:c r="J112" s="23" t="n">
        <x:f>ROUND(G112*12,2)</x:f>
        <x:v>1211.88</x:v>
      </x:c>
      <x:c r="K112" s="12" t="n">
        <x:v>33.99</x:v>
      </x:c>
      <x:c r="L112" s="12" t="n">
        <x:v>16.99</x:v>
      </x:c>
      <x:c r="M112" s="12" t="n">
        <x:v>23.99</x:v>
      </x:c>
      <x:c r="N112" s="14" t="n">
        <x:f>'Pass测算'!J72</x:f>
        <x:v>4.1</x:v>
      </x:c>
      <x:c r="O112" s="13" t="str">
        <x:v>第3组</x:v>
      </x:c>
      <x:c r="P112" s="13" t="str">
        <x:v>Z050</x:v>
      </x:c>
      <x:c r="Q112" s="13" t="str">
        <x:v>已配置</x:v>
      </x:c>
      <x:c r="R112" s="28" t="n">
        <x:v>269.99</x:v>
      </x:c>
      <x:c r="S112" s="28" t="n">
        <x:v>1296.99</x:v>
      </x:c>
    </x:row>
    <x:row r="113" ht="29" customHeight="1">
      <x:c r="A113" s="4" t="str">
        <x:v>乌兹别克斯坦</x:v>
      </x:c>
      <x:c r="B113" s="10" t="n">
        <x:v>0.2</x:v>
      </x:c>
      <x:c r="C113" s="13" t="str">
        <x:v>UZS</x:v>
      </x:c>
      <x:c r="D113" s="15" t="n">
        <x:v>7199</x:v>
      </x:c>
      <x:c r="E113" s="15" t="n">
        <x:v>47900</x:v>
      </x:c>
      <x:c r="F113" s="15" t="n">
        <x:v>95900</x:v>
      </x:c>
      <x:c r="G113" s="24" t="n">
        <x:v>71900</x:v>
      </x:c>
      <x:c r="H113" s="15" t="n">
        <x:v>229000</x:v>
      </x:c>
      <x:c r="I113" s="15" t="n">
        <x:v>459000</x:v>
      </x:c>
      <x:c r="J113" s="24" t="n">
        <x:f>ROUND(G113*12,2)</x:f>
        <x:v>862800</x:v>
      </x:c>
      <x:c r="K113" s="15" t="n">
        <x:v>23900</x:v>
      </x:c>
      <x:c r="L113" s="15" t="n">
        <x:v>11900</x:v>
      </x:c>
      <x:c r="M113" s="15" t="n">
        <x:v>16900</x:v>
      </x:c>
      <x:c r="N113" s="15" t="n">
        <x:f>'Pass测算'!J21</x:f>
        <x:v>7200</x:v>
      </x:c>
      <x:c r="O113" s="13" t="str">
        <x:v>第3组</x:v>
      </x:c>
      <x:c r="P113" s="13" t="str">
        <x:v>Z020</x:v>
      </x:c>
      <x:c r="Q113" s="13" t="str">
        <x:v>已配置</x:v>
      </x:c>
      <x:c r="R113" s="29" t="n">
        <x:v>189000</x:v>
      </x:c>
      <x:c r="S113" s="29" t="n">
        <x:v>919000</x:v>
      </x:c>
    </x:row>
    <x:row r="114" ht="29" customHeight="1">
      <x:c r="A114" s="16" t="str">
        <x:v>泰国</x:v>
      </x:c>
      <x:c r="B114" s="17" t="n">
        <x:v>0.3</x:v>
      </x:c>
      <x:c r="C114" s="18" t="str">
        <x:v>THB</x:v>
      </x:c>
      <x:c r="D114" s="19" t="n">
        <x:v>29</x:v>
      </x:c>
      <x:c r="E114" s="19" t="n">
        <x:v>199</x:v>
      </x:c>
      <x:c r="F114" s="19" t="n">
        <x:v>399</x:v>
      </x:c>
      <x:c r="G114" s="25" t="n">
        <x:v>299</x:v>
      </x:c>
      <x:c r="H114" s="19" t="n">
        <x:v>959</x:v>
      </x:c>
      <x:c r="I114" s="19" t="n">
        <x:v>1929</x:v>
      </x:c>
      <x:c r="J114" s="25" t="n">
        <x:f>ROUND(G114*12,2)</x:f>
        <x:v>3588</x:v>
      </x:c>
      <x:c r="K114" s="19" t="n">
        <x:v>99</x:v>
      </x:c>
      <x:c r="L114" s="19" t="n">
        <x:v>49</x:v>
      </x:c>
      <x:c r="M114" s="19" t="n">
        <x:v>69</x:v>
      </x:c>
      <x:c r="N114" s="19" t="n">
        <x:f>'Pass测算'!J36</x:f>
        <x:v>21</x:v>
      </x:c>
      <x:c r="O114" s="18" t="str">
        <x:v>第1组</x:v>
      </x:c>
      <x:c r="P114" s="18" t="str">
        <x:v>Z030</x:v>
      </x:c>
      <x:c r="Q114" s="18" t="str">
        <x:v>已配置</x:v>
      </x:c>
      <x:c r="R114" s="29" t="n">
        <x:v>799</x:v>
      </x:c>
      <x:c r="S114" s="29" t="n">
        <x:v>3859</x:v>
      </x:c>
    </x:row>
    <x:row r="115" ht="29" customHeight="1">
      <x:c r="A115" s="16" t="str">
        <x:v>奥地利</x:v>
      </x:c>
      <x:c r="B115" s="17" t="n">
        <x:v>0.8</x:v>
      </x:c>
      <x:c r="C115" s="18" t="str">
        <x:v>EUR</x:v>
      </x:c>
      <x:c r="D115" s="21" t="n">
        <x:v>1.99</x:v>
      </x:c>
      <x:c r="E115" s="21" t="n">
        <x:v>13.99</x:v>
      </x:c>
      <x:c r="F115" s="21" t="n">
        <x:v>27.99</x:v>
      </x:c>
      <x:c r="G115" s="26" t="n">
        <x:v>20.99</x:v>
      </x:c>
      <x:c r="H115" s="21" t="n">
        <x:v>67.99</x:v>
      </x:c>
      <x:c r="I115" s="21" t="n">
        <x:v>136.99</x:v>
      </x:c>
      <x:c r="J115" s="26" t="n">
        <x:f>ROUND(G115*12,2)</x:f>
        <x:v>251.88</x:v>
      </x:c>
      <x:c r="K115" s="21" t="n">
        <x:v>6.99</x:v>
      </x:c>
      <x:c r="L115" s="21" t="n">
        <x:v>3.49</x:v>
      </x:c>
      <x:c r="M115" s="21" t="n">
        <x:v>4.99</x:v>
      </x:c>
      <x:c r="N115" s="20" t="n">
        <x:f>'Pass测算'!J90</x:f>
        <x:v>0.7</x:v>
      </x:c>
      <x:c r="O115" s="18" t="str">
        <x:v>第1组</x:v>
      </x:c>
      <x:c r="P115" s="18" t="str">
        <x:v>Z080</x:v>
      </x:c>
      <x:c r="Q115" s="18" t="str">
        <x:v>已配置</x:v>
      </x:c>
      <x:c r="R115" s="28" t="n">
        <x:v>56.99</x:v>
      </x:c>
      <x:c r="S115" s="28" t="n">
        <x:v>272.99</x:v>
      </x:c>
    </x:row>
  </x:sheetData>
  <x:pageMargins left="0.7" right="0.7" top="0.75" bottom="0.75" header="0.3" footer="0.3"/>
  <x:tableParts count="1">
    <x:tablePart xmlns:r="http://schemas.openxmlformats.org/officeDocument/2006/relationships" r:id="Rf9f083178b1e4d5c"/>
  </x:tableParts>
</x:worksheet>
</file>

<file path=xl/worksheets/sheet2.xml><?xml version="1.0" encoding="utf-8"?>
<x:worksheet xmlns:x="http://schemas.openxmlformats.org/spreadsheetml/2006/main">
  <x:sheetPr>
    <x:tabColor rgb="FF9CA3AF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5" max="5" width="13" hidden="0" customWidth="1"/>
    <x:col min="8" max="8" width="13" hidden="0" customWidth="1"/>
    <x:col min="4" max="4" width="20" hidden="0" customWidth="1"/>
    <x:col min="6" max="6" width="20" hidden="0" customWidth="1"/>
    <x:col min="7" max="7" width="20" hidden="0" customWidth="1"/>
    <x:col min="9" max="9" width="20" hidden="0" customWidth="1"/>
    <x:col min="10" max="10" width="20" hidden="0" customWidth="1"/>
    <x:col min="11" max="11" width="3" hidden="0" customWidth="1"/>
    <x:col min="12" max="12" width="85" hidden="0" customWidth="1"/>
  </x:cols>
  <x:sheetData>
    <x:row r="1" ht="30" customHeight="1">
      <x:c r="A1" s="37" t="str">
        <x:v>倍率区</x:v>
      </x:c>
      <x:c r="B1" s="37" t="str">
        <x:v>币种</x:v>
      </x:c>
      <x:c r="C1" s="37" t="str">
        <x:v>系数</x:v>
      </x:c>
      <x:c r="D1" s="37" t="str">
        <x:v>本币／USD参考</x:v>
      </x:c>
      <x:c r="E1" s="37" t="str">
        <x:v>USD基价</x:v>
      </x:c>
      <x:c r="F1" s="37" t="str">
        <x:v>原始月价</x:v>
      </x:c>
      <x:c r="G1" s="37" t="str">
        <x:v>低额参考</x:v>
      </x:c>
      <x:c r="H1" s="37" t="str">
        <x:v>向上取整步长</x:v>
      </x:c>
      <x:c r="I1" s="37" t="str">
        <x:v>取整前金额</x:v>
      </x:c>
      <x:c r="J1" s="56" t="str">
        <x:v>固定月价</x:v>
      </x:c>
      <x:c r="K1" s="33"/>
      <x:c r="L1" s="62" t="str">
        <x:v>定价口径与来源</x:v>
      </x:c>
      <x:c r="M1" s="33"/>
      <x:c r="N1" s="33"/>
      <x:c r="O1" s="33"/>
    </x:row>
    <x:row r="2" ht="26" customHeight="1">
      <x:c r="A2" s="38" t="str">
        <x:v>Z020</x:v>
      </x:c>
      <x:c r="B2" s="38" t="str">
        <x:v>INR</x:v>
      </x:c>
      <x:c r="C2" s="47" t="n">
        <x:v>0.2</x:v>
      </x:c>
      <x:c r="D2" s="50" t="n">
        <x:v>94.79739869934967</x:v>
      </x:c>
      <x:c r="E2" s="47" t="n">
        <x:v>0.99</x:v>
      </x:c>
      <x:c r="F2" s="44" t="n">
        <x:f>C2*D2*E2</x:f>
        <x:v>18.769884942471236</x:v>
      </x:c>
      <x:c r="G2" s="44" t="n">
        <x:v>56.8784392196098</x:v>
      </x:c>
      <x:c r="H2" s="53" t="n">
        <x:v>1</x:v>
      </x:c>
      <x:c r="I2" s="44" t="n">
        <x:f>MAX(F2,G2)</x:f>
        <x:v>56.8784392196098</x:v>
      </x:c>
      <x:c r="J2" s="57" t="n">
        <x:f>ROUND(ROUNDUP(I2/H2,0)*H2,2)</x:f>
        <x:v>57</x:v>
      </x:c>
      <x:c r="K2" s="33"/>
      <x:c r="L2" s="63" t="str">
        <x:v>114地区；第一组10、第二组53、第三组51。2026-10-18定稿。</x:v>
      </x:c>
      <x:c r="M2" s="33"/>
      <x:c r="N2" s="33"/>
      <x:c r="O2" s="33"/>
    </x:row>
    <x:row r="3" ht="26" customHeight="1">
      <x:c r="A3" s="39" t="str">
        <x:v>Z020</x:v>
      </x:c>
      <x:c r="B3" s="39" t="str">
        <x:v>PKR</x:v>
      </x:c>
      <x:c r="C3" s="48" t="n">
        <x:v>0.2</x:v>
      </x:c>
      <x:c r="D3" s="51" t="n">
        <x:v>274.8874437218609</x:v>
      </x:c>
      <x:c r="E3" s="48" t="n">
        <x:v>0.99</x:v>
      </x:c>
      <x:c r="F3" s="45" t="n">
        <x:f>C3*D3*E3</x:f>
        <x:v>54.427713856928456</x:v>
      </x:c>
      <x:c r="G3" s="45" t="n">
        <x:v>164.93246623311657</x:v>
      </x:c>
      <x:c r="H3" s="54" t="n">
        <x:v>10</x:v>
      </x:c>
      <x:c r="I3" s="45" t="n">
        <x:f>MAX(F3,G3)</x:f>
        <x:v>164.93246623311657</x:v>
      </x:c>
      <x:c r="J3" s="58" t="n">
        <x:f>ROUND(ROUNDUP(I3/H3,0)*H3,2)</x:f>
        <x:v>170</x:v>
      </x:c>
      <x:c r="K3" s="33"/>
      <x:c r="L3" s="63" t="str">
        <x:v>17倍率区，86销售币种，103区币种组合，当前187条沙盒Price。</x:v>
      </x:c>
      <x:c r="M3" s="33"/>
      <x:c r="N3" s="33"/>
      <x:c r="O3" s="33"/>
    </x:row>
    <x:row r="4" ht="26" customHeight="1">
      <x:c r="A4" s="39" t="str">
        <x:v>Z020</x:v>
      </x:c>
      <x:c r="B4" s="39" t="str">
        <x:v>EGP</x:v>
      </x:c>
      <x:c r="C4" s="48" t="n">
        <x:v>0.2</x:v>
      </x:c>
      <x:c r="D4" s="51" t="n">
        <x:v>52.276138069034516</x:v>
      </x:c>
      <x:c r="E4" s="48" t="n">
        <x:v>0.99</x:v>
      </x:c>
      <x:c r="F4" s="45" t="n">
        <x:f>C4*D4*E4</x:f>
        <x:v>10.350675337668836</x:v>
      </x:c>
      <x:c r="G4" s="45" t="n">
        <x:v>31.36568284142071</x:v>
      </x:c>
      <x:c r="H4" s="54" t="n">
        <x:v>1</x:v>
      </x:c>
      <x:c r="I4" s="45" t="n">
        <x:f>MAX(F4,G4)</x:f>
        <x:v>31.36568284142071</x:v>
      </x:c>
      <x:c r="J4" s="58" t="n">
        <x:f>ROUND(ROUNDUP(I4/H4,0)*H4,2)</x:f>
        <x:v>32</x:v>
      </x:c>
      <x:c r="K4" s="33"/>
      <x:c r="L4" s="63" t="str">
        <x:v>Pro新购与下期续费用新Pro月／年；新Pro年＝月价×12。</x:v>
      </x:c>
      <x:c r="M4" s="33"/>
      <x:c r="N4" s="33"/>
      <x:c r="O4" s="33"/>
    </x:row>
    <x:row r="5" ht="26" customHeight="1">
      <x:c r="A5" s="39" t="str">
        <x:v>Z020</x:v>
      </x:c>
      <x:c r="B5" s="39" t="str">
        <x:v>NGN</x:v>
      </x:c>
      <x:c r="C5" s="48" t="n">
        <x:v>0.2</x:v>
      </x:c>
      <x:c r="D5" s="51" t="n">
        <x:v>1325.4127063531766</x:v>
      </x:c>
      <x:c r="E5" s="48" t="n">
        <x:v>0.99</x:v>
      </x:c>
      <x:c r="F5" s="45" t="n">
        <x:f>C5*D5*E5</x:f>
        <x:v>262.43171585792896</x:v>
      </x:c>
      <x:c r="G5" s="45" t="n">
        <x:v>795.2476238119059</x:v>
      </x:c>
      <x:c r="H5" s="54" t="n">
        <x:v>10</x:v>
      </x:c>
      <x:c r="I5" s="45" t="n">
        <x:f>MAX(F5,G5)</x:f>
        <x:v>795.2476238119059</x:v>
      </x:c>
      <x:c r="J5" s="58" t="n">
        <x:f>ROUND(ROUNDUP(I5/H5,0)*H5,2)</x:f>
        <x:v>800</x:v>
      </x:c>
      <x:c r="K5" s="33"/>
      <x:c r="L5" s="63" t="str">
        <x:v>仅需求确认时线上已购Pro，当期已付周期保留旧金额。</x:v>
      </x:c>
      <x:c r="M5" s="33"/>
      <x:c r="N5" s="33"/>
      <x:c r="O5" s="33"/>
    </x:row>
    <x:row r="6" ht="26" customHeight="1">
      <x:c r="A6" s="39" t="str">
        <x:v>Z020</x:v>
      </x:c>
      <x:c r="B6" s="39" t="str">
        <x:v>BDT</x:v>
      </x:c>
      <x:c r="C6" s="48" t="n">
        <x:v>0.2</x:v>
      </x:c>
      <x:c r="D6" s="51" t="n">
        <x:v>122.3111555777889</x:v>
      </x:c>
      <x:c r="E6" s="48" t="n">
        <x:v>0.99</x:v>
      </x:c>
      <x:c r="F6" s="45" t="n">
        <x:f>C6*D6*E6</x:f>
        <x:v>24.217608804402204</x:v>
      </x:c>
      <x:c r="G6" s="45" t="n">
        <x:v>73.38669334667334</x:v>
      </x:c>
      <x:c r="H6" s="54" t="n">
        <x:v>1</x:v>
      </x:c>
      <x:c r="I6" s="45" t="n">
        <x:f>MAX(F6,G6)</x:f>
        <x:v>73.38669334667334</x:v>
      </x:c>
      <x:c r="J6" s="58" t="n">
        <x:f>ROUND(ROUNDUP(I6/H6,0)*H6,2)</x:f>
        <x:v>74</x:v>
      </x:c>
      <x:c r="K6" s="33"/>
      <x:c r="L6" s="63" t="str">
        <x:v>原Pro历史列仅供核对；改用USD的7地历史列留空，避免币种混淆。</x:v>
      </x:c>
      <x:c r="M6" s="33"/>
      <x:c r="N6" s="33"/>
      <x:c r="O6" s="33"/>
    </x:row>
    <x:row r="7" ht="26" customHeight="1">
      <x:c r="A7" s="39" t="str">
        <x:v>Z020</x:v>
      </x:c>
      <x:c r="B7" s="39" t="str">
        <x:v>ETB</x:v>
      </x:c>
      <x:c r="C7" s="48" t="n">
        <x:v>0.2</x:v>
      </x:c>
      <x:c r="D7" s="51" t="n">
        <x:v>162.33116558279139</x:v>
      </x:c>
      <x:c r="E7" s="48" t="n">
        <x:v>0.99</x:v>
      </x:c>
      <x:c r="F7" s="45" t="n">
        <x:f>C7*D7*E7</x:f>
        <x:v>32.141570785392695</x:v>
      </x:c>
      <x:c r="G7" s="45" t="n">
        <x:v>97.39869934967484</x:v>
      </x:c>
      <x:c r="H7" s="54" t="n">
        <x:v>1</x:v>
      </x:c>
      <x:c r="I7" s="45" t="n">
        <x:f>MAX(F7,G7)</x:f>
        <x:v>97.39869934967484</x:v>
      </x:c>
      <x:c r="J7" s="58" t="n">
        <x:f>ROUND(ROUNDUP(I7/H7,0)*H7,2)</x:f>
        <x:v>98</x:v>
      </x:c>
      <x:c r="K7" s="33"/>
      <x:c r="L7" s="63" t="str">
        <x:v>试用7天为付费首段；Study Pass月按自然月订阅，不是每30天。</x:v>
      </x:c>
      <x:c r="M7" s="33"/>
      <x:c r="N7" s="33"/>
      <x:c r="O7" s="33"/>
    </x:row>
    <x:row r="8" ht="26" customHeight="1">
      <x:c r="A8" s="39" t="str">
        <x:v>Z020</x:v>
      </x:c>
      <x:c r="B8" s="39" t="str">
        <x:v>MWK</x:v>
      </x:c>
      <x:c r="C8" s="48" t="n">
        <x:v>0.2</x:v>
      </x:c>
      <x:c r="D8" s="51" t="n">
        <x:v>1750.625312656328</x:v>
      </x:c>
      <x:c r="E8" s="48" t="n">
        <x:v>0.99</x:v>
      </x:c>
      <x:c r="F8" s="45" t="n">
        <x:f>C8*D8*E8</x:f>
        <x:v>346.623811905953</x:v>
      </x:c>
      <x:c r="G8" s="45" t="n">
        <x:v>1050.375187593797</x:v>
      </x:c>
      <x:c r="H8" s="54" t="n">
        <x:v>100</x:v>
      </x:c>
      <x:c r="I8" s="45" t="n">
        <x:f>MAX(F8,G8)</x:f>
        <x:v>1050.375187593797</x:v>
      </x:c>
      <x:c r="J8" s="58" t="n">
        <x:f>ROUND(ROUNDUP(I8/H8,0)*H8,2)</x:f>
        <x:v>1100</x:v>
      </x:c>
      <x:c r="K8" s="33"/>
      <x:c r="L8" s="63" t="str">
        <x:v>全部金额为币种主单位；额外包保留既有税行为，税外另计。</x:v>
      </x:c>
      <x:c r="M8" s="33"/>
      <x:c r="N8" s="33"/>
      <x:c r="O8" s="33"/>
    </x:row>
    <x:row r="9" ht="26" customHeight="1">
      <x:c r="A9" s="39" t="str">
        <x:v>Z020</x:v>
      </x:c>
      <x:c r="B9" s="39" t="str">
        <x:v>USD</x:v>
      </x:c>
      <x:c r="C9" s="48" t="n">
        <x:v>0.2</x:v>
      </x:c>
      <x:c r="D9" s="51" t="n">
        <x:v>1</x:v>
      </x:c>
      <x:c r="E9" s="48" t="n">
        <x:v>0.99</x:v>
      </x:c>
      <x:c r="F9" s="45" t="n">
        <x:f>C9*D9*E9</x:f>
        <x:v>0.198</x:v>
      </x:c>
      <x:c r="G9" s="45" t="n">
        <x:v>0.6</x:v>
      </x:c>
      <x:c r="H9" s="54" t="n">
        <x:v>0.01</x:v>
      </x:c>
      <x:c r="I9" s="45" t="n">
        <x:f>MAX(F9,G9)</x:f>
        <x:v>0.6</x:v>
      </x:c>
      <x:c r="J9" s="58" t="n">
        <x:f>ROUND(ROUNDUP(I9/H9,0)*H9,2)</x:f>
        <x:v>0.6</x:v>
      </x:c>
      <x:c r="K9" s="33"/>
      <x:c r="L9" s="63" t="str">
        <x:v>金额源：地区SKU价格与可行性.xlsx／分组价格；TH、AT取补充表。</x:v>
      </x:c>
      <x:c r="M9" s="33"/>
      <x:c r="N9" s="33"/>
      <x:c r="O9" s="33"/>
    </x:row>
    <x:row r="10" ht="26" customHeight="1">
      <x:c r="A10" s="39" t="str">
        <x:v>Z020</x:v>
      </x:c>
      <x:c r="B10" s="39" t="str">
        <x:v>ILS</x:v>
      </x:c>
      <x:c r="C10" s="48" t="n">
        <x:v>0.2</x:v>
      </x:c>
      <x:c r="D10" s="51" t="n">
        <x:v>2.998999499749875</x:v>
      </x:c>
      <x:c r="E10" s="48" t="n">
        <x:v>0.99</x:v>
      </x:c>
      <x:c r="F10" s="45" t="n">
        <x:f>C10*D10*E10</x:f>
        <x:v>0.5938019009504752</x:v>
      </x:c>
      <x:c r="G10" s="45" t="n">
        <x:v>1.7993996998499249</x:v>
      </x:c>
      <x:c r="H10" s="54" t="n">
        <x:v>0.1</x:v>
      </x:c>
      <x:c r="I10" s="45" t="n">
        <x:f>MAX(F10,G10)</x:f>
        <x:v>1.7993996998499249</x:v>
      </x:c>
      <x:c r="J10" s="58" t="n">
        <x:f>ROUND(ROUNDUP(I10/H10,0)*H10,2)</x:f>
        <x:v>1.8</x:v>
      </x:c>
      <x:c r="K10" s="33"/>
      <x:c r="L10" s="63" t="str">
        <x:v>价格补充：地区价格补充与美元替代.xlsx／价格补充。</x:v>
      </x:c>
      <x:c r="M10" s="33"/>
      <x:c r="N10" s="33"/>
      <x:c r="O10" s="33"/>
    </x:row>
    <x:row r="11" ht="26" customHeight="1">
      <x:c r="A11" s="39" t="str">
        <x:v>Z020</x:v>
      </x:c>
      <x:c r="B11" s="39" t="str">
        <x:v>RWF</x:v>
      </x:c>
      <x:c r="C11" s="48" t="n">
        <x:v>0.2</x:v>
      </x:c>
      <x:c r="D11" s="51" t="n">
        <x:v>1475.487743871936</x:v>
      </x:c>
      <x:c r="E11" s="48" t="n">
        <x:v>0.99</x:v>
      </x:c>
      <x:c r="F11" s="45" t="n">
        <x:f>C11*D11*E11</x:f>
        <x:v>292.14657328664333</x:v>
      </x:c>
      <x:c r="G11" s="45" t="n">
        <x:v>885.2926463231615</x:v>
      </x:c>
      <x:c r="H11" s="54" t="n">
        <x:v>10</x:v>
      </x:c>
      <x:c r="I11" s="45" t="n">
        <x:f>MAX(F11,G11)</x:f>
        <x:v>885.2926463231615</x:v>
      </x:c>
      <x:c r="J11" s="58" t="n">
        <x:f>ROUND(ROUNDUP(I11/H11,0)*H11,2)</x:f>
        <x:v>890</x:v>
      </x:c>
      <x:c r="K11" s="33"/>
      <x:c r="L11" s="63" t="str">
        <x:v>原63地区采用已核对r6价格JSON；本轮补入第三组51地区。</x:v>
      </x:c>
      <x:c r="M11" s="33"/>
      <x:c r="N11" s="33"/>
      <x:c r="O11" s="33"/>
    </x:row>
    <x:row r="12" ht="26" customHeight="1">
      <x:c r="A12" s="39" t="str">
        <x:v>Z020</x:v>
      </x:c>
      <x:c r="B12" s="39" t="str">
        <x:v>TZS</x:v>
      </x:c>
      <x:c r="C12" s="48" t="n">
        <x:v>0.2</x:v>
      </x:c>
      <x:c r="D12" s="51" t="n">
        <x:v>2726.363181590795</x:v>
      </x:c>
      <x:c r="E12" s="48" t="n">
        <x:v>0.99</x:v>
      </x:c>
      <x:c r="F12" s="45" t="n">
        <x:f>C12*D12*E12</x:f>
        <x:v>539.8199099549774</x:v>
      </x:c>
      <x:c r="G12" s="45" t="n">
        <x:v>1635.8179089544772</x:v>
      </x:c>
      <x:c r="H12" s="54" t="n">
        <x:v>100</x:v>
      </x:c>
      <x:c r="I12" s="45" t="n">
        <x:f>MAX(F12,G12)</x:f>
        <x:v>1635.8179089544772</x:v>
      </x:c>
      <x:c r="J12" s="58" t="n">
        <x:f>ROUND(ROUNDUP(I12/H12,0)*H12,2)</x:f>
        <x:v>1700</x:v>
      </x:c>
      <x:c r="K12" s="33"/>
      <x:c r="L12" s="63" t="str">
        <x:v>GH、TN、IQ、JO、VE、KW、OM的USD替代价已经用户明确批准。</x:v>
      </x:c>
      <x:c r="M12" s="33"/>
      <x:c r="N12" s="33"/>
      <x:c r="O12" s="33"/>
    </x:row>
    <x:row r="13" ht="26" customHeight="1">
      <x:c r="A13" s="39" t="str">
        <x:v>Z020</x:v>
      </x:c>
      <x:c r="B13" s="39" t="str">
        <x:v>UGX</x:v>
      </x:c>
      <x:c r="C13" s="48" t="n">
        <x:v>0.2</x:v>
      </x:c>
      <x:c r="D13" s="51" t="n">
        <x:v>3976.9884942471235</x:v>
      </x:c>
      <x:c r="E13" s="48" t="n">
        <x:v>0.99</x:v>
      </x:c>
      <x:c r="F13" s="45" t="n">
        <x:f>C13*D13*E13</x:f>
        <x:v>787.4437218609305</x:v>
      </x:c>
      <x:c r="G13" s="45" t="n">
        <x:v>2386.1930965482743</x:v>
      </x:c>
      <x:c r="H13" s="54" t="n">
        <x:v>100</x:v>
      </x:c>
      <x:c r="I13" s="45" t="n">
        <x:f>MAX(F13,G13)</x:f>
        <x:v>2386.1930965482743</x:v>
      </x:c>
      <x:c r="J13" s="58" t="n">
        <x:f>ROUND(ROUNDUP(I13/H13,0)*H13,2)</x:f>
        <x:v>2400</x:v>
      </x:c>
      <x:c r="K13" s="33"/>
      <x:c r="L13" s="63" t="str">
        <x:v>Pass＝USD0.99×系数×固定本币参考；参考非实时或Stripe结算汇率。</x:v>
      </x:c>
      <x:c r="M13" s="33"/>
      <x:c r="N13" s="33"/>
      <x:c r="O13" s="33"/>
    </x:row>
    <x:row r="14" ht="26" customHeight="1">
      <x:c r="A14" s="39" t="str">
        <x:v>Z020</x:v>
      </x:c>
      <x:c r="B14" s="39" t="str">
        <x:v>ZMW</x:v>
      </x:c>
      <x:c r="C14" s="48" t="n">
        <x:v>0.2</x:v>
      </x:c>
      <x:c r="D14" s="51" t="n">
        <x:v>19.759879939969984</x:v>
      </x:c>
      <x:c r="E14" s="48" t="n">
        <x:v>0.99</x:v>
      </x:c>
      <x:c r="F14" s="45" t="n">
        <x:f>C14*D14*E14</x:f>
        <x:v>3.9124562281140567</x:v>
      </x:c>
      <x:c r="G14" s="45" t="n">
        <x:v>11.85592796398199</x:v>
      </x:c>
      <x:c r="H14" s="54" t="n">
        <x:v>1</x:v>
      </x:c>
      <x:c r="I14" s="45" t="n">
        <x:f>MAX(F14,G14)</x:f>
        <x:v>11.85592796398199</x:v>
      </x:c>
      <x:c r="J14" s="58" t="n">
        <x:f>ROUND(ROUNDUP(I14/H14,0)*H14,2)</x:f>
        <x:v>12</x:v>
      </x:c>
      <x:c r="K14" s="33"/>
      <x:c r="L14" s="63" t="str">
        <x:v>低额参考＝max(USD0.60等值缓冲、HKD4等值、官方同币种结算最低额)。</x:v>
      </x:c>
      <x:c r="M14" s="33"/>
      <x:c r="N14" s="33"/>
      <x:c r="O14" s="33"/>
    </x:row>
    <x:row r="15" ht="26" customHeight="1">
      <x:c r="A15" s="39" t="str">
        <x:v>Z020</x:v>
      </x:c>
      <x:c r="B15" s="39" t="str">
        <x:v>AFN</x:v>
      </x:c>
      <x:c r="C15" s="48" t="n">
        <x:v>0.2</x:v>
      </x:c>
      <x:c r="D15" s="51" t="n">
        <x:v>64.7823911955978</x:v>
      </x:c>
      <x:c r="E15" s="48" t="n">
        <x:v>0.99</x:v>
      </x:c>
      <x:c r="F15" s="45" t="n">
        <x:f>C15*D15*E15</x:f>
        <x:v>12.826913456728365</x:v>
      </x:c>
      <x:c r="G15" s="45" t="n">
        <x:v>38.86943471735868</x:v>
      </x:c>
      <x:c r="H15" s="54" t="n">
        <x:v>1</x:v>
      </x:c>
      <x:c r="I15" s="45" t="n">
        <x:f>MAX(F15,G15)</x:f>
        <x:v>38.86943471735868</x:v>
      </x:c>
      <x:c r="J15" s="58" t="n">
        <x:f>ROUND(ROUNDUP(I15/H15,0)*H15,2)</x:f>
        <x:v>39</x:v>
      </x:c>
      <x:c r="K15" s="33"/>
      <x:c r="L15" s="63" t="str">
        <x:v>原币种沿用步长；新增币种按原规则选择步长，再向上取整。</x:v>
      </x:c>
      <x:c r="M15" s="33"/>
      <x:c r="N15" s="33"/>
      <x:c r="O15" s="33"/>
    </x:row>
    <x:row r="16" ht="26" customHeight="1">
      <x:c r="A16" s="39" t="str">
        <x:v>Z020</x:v>
      </x:c>
      <x:c r="B16" s="39" t="str">
        <x:v>XAF</x:v>
      </x:c>
      <x:c r="C16" s="48" t="n">
        <x:v>0.2</x:v>
      </x:c>
      <x:c r="D16" s="51" t="n">
        <x:v>575.0375187593797</x:v>
      </x:c>
      <x:c r="E16" s="48" t="n">
        <x:v>0.99</x:v>
      </x:c>
      <x:c r="F16" s="45" t="n">
        <x:f>C16*D16*E16</x:f>
        <x:v>113.8574287143572</x:v>
      </x:c>
      <x:c r="G16" s="45" t="n">
        <x:v>345.0225112556278</x:v>
      </x:c>
      <x:c r="H16" s="54" t="n">
        <x:v>10</x:v>
      </x:c>
      <x:c r="I16" s="45" t="n">
        <x:f>MAX(F16,G16)</x:f>
        <x:v>345.0225112556278</x:v>
      </x:c>
      <x:c r="J16" s="58" t="n">
        <x:f>ROUND(ROUNDUP(I16/H16,0)*H16,2)</x:f>
        <x:v>350</x:v>
      </x:c>
      <x:c r="K16" s="33"/>
      <x:c r="L16" s="63" t="str">
        <x:v>当前沙盒Price金额已回读；实际首付、优惠后非零金额和续费尚未测试。</x:v>
      </x:c>
      <x:c r="M16" s="33"/>
      <x:c r="N16" s="33"/>
      <x:c r="O16" s="33"/>
    </x:row>
    <x:row r="17" ht="26" customHeight="1">
      <x:c r="A17" s="39" t="str">
        <x:v>Z020</x:v>
      </x:c>
      <x:c r="B17" s="39" t="str">
        <x:v>LAK</x:v>
      </x:c>
      <x:c r="C17" s="48" t="n">
        <x:v>0.2</x:v>
      </x:c>
      <x:c r="D17" s="51" t="n">
        <x:v>22236.118059029515</x:v>
      </x:c>
      <x:c r="E17" s="48" t="n">
        <x:v>0.99</x:v>
      </x:c>
      <x:c r="F17" s="45" t="n">
        <x:f>C17*D17*E17</x:f>
        <x:v>4402.751375687844</x:v>
      </x:c>
      <x:c r="G17" s="45" t="n">
        <x:v>13341.670835417708</x:v>
      </x:c>
      <x:c r="H17" s="54" t="n">
        <x:v>100</x:v>
      </x:c>
      <x:c r="I17" s="45" t="n">
        <x:f>MAX(F17,G17)</x:f>
        <x:v>13341.670835417708</x:v>
      </x:c>
      <x:c r="J17" s="58" t="n">
        <x:f>ROUND(ROUNDUP(I17/H17,0)*H17,2)</x:f>
        <x:v>13400</x:v>
      </x:c>
      <x:c r="K17" s="33"/>
      <x:c r="L17" s="63" t="str">
        <x:v>应用销售未开启；业务代码、生产订阅和Product默认价均未修改。</x:v>
      </x:c>
      <x:c r="M17" s="33"/>
      <x:c r="N17" s="33"/>
      <x:c r="O17" s="33"/>
    </x:row>
    <x:row r="18" ht="26" customHeight="1">
      <x:c r="A18" s="39" t="str">
        <x:v>Z020</x:v>
      </x:c>
      <x:c r="B18" s="39" t="str">
        <x:v>LRD</x:v>
      </x:c>
      <x:c r="C18" s="48" t="n">
        <x:v>0.2</x:v>
      </x:c>
      <x:c r="D18" s="51" t="n">
        <x:v>169.83491745872936</x:v>
      </x:c>
      <x:c r="E18" s="48" t="n">
        <x:v>0.99</x:v>
      </x:c>
      <x:c r="F18" s="45" t="n">
        <x:f>C18*D18*E18</x:f>
        <x:v>33.62731365682841</x:v>
      </x:c>
      <x:c r="G18" s="45" t="n">
        <x:v>101.90095047523762</x:v>
      </x:c>
      <x:c r="H18" s="54" t="n">
        <x:v>10</x:v>
      </x:c>
      <x:c r="I18" s="45" t="n">
        <x:f>MAX(F18,G18)</x:f>
        <x:v>101.90095047523762</x:v>
      </x:c>
      <x:c r="J18" s="58" t="n">
        <x:f>ROUND(ROUNDUP(I18/H18,0)*H18,2)</x:f>
        <x:v>110</x:v>
      </x:c>
      <x:c r="K18" s="33"/>
      <x:c r="L18" s="63" t="str">
        <x:v>Stripe币种／最低额规则：https://docs.stripe.com/currencies</x:v>
      </x:c>
      <x:c r="M18" s="33"/>
      <x:c r="N18" s="33"/>
      <x:c r="O18" s="33"/>
    </x:row>
    <x:row r="19" ht="26" customHeight="1">
      <x:c r="A19" s="39" t="str">
        <x:v>Z020</x:v>
      </x:c>
      <x:c r="B19" s="39" t="str">
        <x:v>MMK</x:v>
      </x:c>
      <x:c r="C19" s="48" t="n">
        <x:v>0.2</x:v>
      </x:c>
      <x:c r="D19" s="51" t="n">
        <x:v>2100.8004002001</x:v>
      </x:c>
      <x:c r="E19" s="48" t="n">
        <x:v>0.99</x:v>
      </x:c>
      <x:c r="F19" s="45" t="n">
        <x:f>C19*D19*E19</x:f>
        <x:v>415.95847923961975</x:v>
      </x:c>
      <x:c r="G19" s="45" t="n">
        <x:v>1260.48024012006</x:v>
      </x:c>
      <x:c r="H19" s="54" t="n">
        <x:v>100</x:v>
      </x:c>
      <x:c r="I19" s="45" t="n">
        <x:f>MAX(F19,G19)</x:f>
        <x:v>1260.48024012006</x:v>
      </x:c>
      <x:c r="J19" s="58" t="n">
        <x:f>ROUND(ROUNDUP(I19/H19,0)*H19,2)</x:f>
        <x:v>1300</x:v>
      </x:c>
      <x:c r="K19" s="33"/>
      <x:c r="L19" s="63" t="str">
        <x:v>根价格JSON：openspec/changes/add-brazil-regional-pricing/regional-expansion-prices.json</x:v>
      </x:c>
      <x:c r="M19" s="33"/>
      <x:c r="N19" s="33"/>
      <x:c r="O19" s="33"/>
    </x:row>
    <x:row r="20" ht="26" customHeight="1">
      <x:c r="A20" s="39" t="str">
        <x:v>Z020</x:v>
      </x:c>
      <x:c r="B20" s="39" t="str">
        <x:v>NPR</x:v>
      </x:c>
      <x:c r="C20" s="48" t="n">
        <x:v>0.2</x:v>
      </x:c>
      <x:c r="D20" s="51" t="n">
        <x:v>152.32616308154078</x:v>
      </x:c>
      <x:c r="E20" s="48" t="n">
        <x:v>0.99</x:v>
      </x:c>
      <x:c r="F20" s="45" t="n">
        <x:f>C20*D20*E20</x:f>
        <x:v>30.160580290145074</x:v>
      </x:c>
      <x:c r="G20" s="45" t="n">
        <x:v>91.39569784892446</x:v>
      </x:c>
      <x:c r="H20" s="54" t="n">
        <x:v>1</x:v>
      </x:c>
      <x:c r="I20" s="45" t="n">
        <x:f>MAX(F20,G20)</x:f>
        <x:v>91.39569784892446</x:v>
      </x:c>
      <x:c r="J20" s="58" t="n">
        <x:f>ROUND(ROUNDUP(I20/H20,0)*H20,2)</x:f>
        <x:v>92</x:v>
      </x:c>
      <x:c r="K20" s="33"/>
      <x:c r="L20" s="63" t="str">
        <x:v>沙盒证据：outputs/regional-sku-20261018-01a14a9a/stripe-regional-r7-sandbox/verification.json</x:v>
      </x:c>
      <x:c r="M20" s="33"/>
      <x:c r="N20" s="33"/>
      <x:c r="O20" s="33"/>
    </x:row>
    <x:row r="21" ht="26" customHeight="1">
      <x:c r="A21" s="39" t="str">
        <x:v>Z020</x:v>
      </x:c>
      <x:c r="B21" s="39" t="str">
        <x:v>UZS</x:v>
      </x:c>
      <x:c r="C21" s="48" t="n">
        <x:v>0.2</x:v>
      </x:c>
      <x:c r="D21" s="51" t="n">
        <x:v>11980.990495247624</x:v>
      </x:c>
      <x:c r="E21" s="48" t="n">
        <x:v>0.99</x:v>
      </x:c>
      <x:c r="F21" s="45" t="n">
        <x:f>C21*D21*E21</x:f>
        <x:v>2372.2361180590296</x:v>
      </x:c>
      <x:c r="G21" s="45" t="n">
        <x:v>7188.594297148575</x:v>
      </x:c>
      <x:c r="H21" s="54" t="n">
        <x:v>100</x:v>
      </x:c>
      <x:c r="I21" s="45" t="n">
        <x:f>MAX(F21,G21)</x:f>
        <x:v>7188.594297148575</x:v>
      </x:c>
      <x:c r="J21" s="58" t="n">
        <x:f>ROUND(ROUNDUP(I21/H21,0)*H21,2)</x:f>
        <x:v>7200</x:v>
      </x:c>
      <x:c r="K21" s="33"/>
      <x:c r="L21" s="63" t="str">
        <x:v>UGX主单位整数，API兼容乘100；CLP／XAF／XOF为零小数charge币种。</x:v>
      </x:c>
      <x:c r="M21" s="33"/>
      <x:c r="N21" s="33"/>
      <x:c r="O21" s="33"/>
    </x:row>
    <x:row r="22" ht="26" customHeight="1">
      <x:c r="A22" s="39" t="str">
        <x:v>Z025</x:v>
      </x:c>
      <x:c r="B22" s="39" t="str">
        <x:v>VND</x:v>
      </x:c>
      <x:c r="C22" s="48" t="n">
        <x:v>0.25</x:v>
      </x:c>
      <x:c r="D22" s="51" t="n">
        <x:v>25812.906453226613</x:v>
      </x:c>
      <x:c r="E22" s="48" t="n">
        <x:v>0.99</x:v>
      </x:c>
      <x:c r="F22" s="45" t="n">
        <x:f>C22*D22*E22</x:f>
        <x:v>6388.694347173587</x:v>
      </x:c>
      <x:c r="G22" s="45" t="n">
        <x:v>15487.743871935969</x:v>
      </x:c>
      <x:c r="H22" s="54" t="n">
        <x:v>100</x:v>
      </x:c>
      <x:c r="I22" s="45" t="n">
        <x:f>MAX(F22,G22)</x:f>
        <x:v>15487.743871935969</x:v>
      </x:c>
      <x:c r="J22" s="58" t="n">
        <x:f>ROUND(ROUNDUP(I22/H22,0)*H22,2)</x:f>
        <x:v>15500</x:v>
      </x:c>
      <x:c r="K22" s="33"/>
      <x:c r="L22" s="63" t="str">
        <x:v>HUF按两位charge单位；支付渠道与实际最低额仍须独立验收。</x:v>
      </x:c>
      <x:c r="M22" s="33"/>
      <x:c r="N22" s="33"/>
      <x:c r="O22" s="33"/>
    </x:row>
    <x:row r="23" ht="26" customHeight="1">
      <x:c r="A23" s="39" t="str">
        <x:v>Z025</x:v>
      </x:c>
      <x:c r="B23" s="39" t="str">
        <x:v>IDR</x:v>
      </x:c>
      <x:c r="C23" s="48" t="n">
        <x:v>0.25</x:v>
      </x:c>
      <x:c r="D23" s="51" t="n">
        <x:v>17988.994497248623</x:v>
      </x:c>
      <x:c r="E23" s="48" t="n">
        <x:v>0.99</x:v>
      </x:c>
      <x:c r="F23" s="45" t="n">
        <x:f>C23*D23*E23</x:f>
        <x:v>4452.2761380690345</x:v>
      </x:c>
      <x:c r="G23" s="45" t="n">
        <x:v>10793.396698349175</x:v>
      </x:c>
      <x:c r="H23" s="54" t="n">
        <x:v>100</x:v>
      </x:c>
      <x:c r="I23" s="45" t="n">
        <x:f>MAX(F23,G23)</x:f>
        <x:v>10793.396698349175</x:v>
      </x:c>
      <x:c r="J23" s="58" t="n">
        <x:f>ROUND(ROUNDUP(I23/H23,0)*H23,2)</x:f>
        <x:v>10800</x:v>
      </x:c>
      <x:c r="K23" s="33"/>
      <x:c r="L23" s="33"/>
      <x:c r="M23" s="33"/>
      <x:c r="N23" s="33"/>
      <x:c r="O23" s="33"/>
    </x:row>
    <x:row r="24" ht="26" customHeight="1">
      <x:c r="A24" s="39" t="str">
        <x:v>Z025</x:v>
      </x:c>
      <x:c r="B24" s="39" t="str">
        <x:v>KES</x:v>
      </x:c>
      <x:c r="C24" s="48" t="n">
        <x:v>0.25</x:v>
      </x:c>
      <x:c r="D24" s="51" t="n">
        <x:v>129.8649324662331</x:v>
      </x:c>
      <x:c r="E24" s="48" t="n">
        <x:v>0.99</x:v>
      </x:c>
      <x:c r="F24" s="45" t="n">
        <x:f>C24*D24*E24</x:f>
        <x:v>32.141570785392695</x:v>
      </x:c>
      <x:c r="G24" s="45" t="n">
        <x:v>77.91895947973987</x:v>
      </x:c>
      <x:c r="H24" s="54" t="n">
        <x:v>1</x:v>
      </x:c>
      <x:c r="I24" s="45" t="n">
        <x:f>MAX(F24,G24)</x:f>
        <x:v>77.91895947973987</x:v>
      </x:c>
      <x:c r="J24" s="58" t="n">
        <x:f>ROUND(ROUNDUP(I24/H24,0)*H24,2)</x:f>
        <x:v>78</x:v>
      </x:c>
      <x:c r="K24" s="33"/>
      <x:c r="L24" s="33"/>
      <x:c r="M24" s="33"/>
      <x:c r="N24" s="33"/>
      <x:c r="O24" s="33"/>
    </x:row>
    <x:row r="25" ht="26" customHeight="1">
      <x:c r="A25" s="39" t="str">
        <x:v>Z025</x:v>
      </x:c>
      <x:c r="B25" s="39" t="str">
        <x:v>UAH</x:v>
      </x:c>
      <x:c r="C25" s="48" t="n">
        <x:v>0.25</x:v>
      </x:c>
      <x:c r="D25" s="51" t="n">
        <x:v>45.82291145572786</x:v>
      </x:c>
      <x:c r="E25" s="48" t="n">
        <x:v>0.99</x:v>
      </x:c>
      <x:c r="F25" s="45" t="n">
        <x:f>C25*D25*E25</x:f>
        <x:v>11.341170585292646</x:v>
      </x:c>
      <x:c r="G25" s="45" t="n">
        <x:v>27.49374687343672</x:v>
      </x:c>
      <x:c r="H25" s="54" t="n">
        <x:v>1</x:v>
      </x:c>
      <x:c r="I25" s="45" t="n">
        <x:f>MAX(F25,G25)</x:f>
        <x:v>27.49374687343672</x:v>
      </x:c>
      <x:c r="J25" s="58" t="n">
        <x:f>ROUND(ROUNDUP(I25/H25,0)*H25,2)</x:f>
        <x:v>28</x:v>
      </x:c>
      <x:c r="K25" s="33"/>
      <x:c r="L25" s="33"/>
      <x:c r="M25" s="33"/>
      <x:c r="N25" s="33"/>
      <x:c r="O25" s="33"/>
    </x:row>
    <x:row r="26" ht="26" customHeight="1">
      <x:c r="A26" s="39" t="str">
        <x:v>Z025</x:v>
      </x:c>
      <x:c r="B26" s="39" t="str">
        <x:v>BOB</x:v>
      </x:c>
      <x:c r="C26" s="48" t="n">
        <x:v>0.25</x:v>
      </x:c>
      <x:c r="D26" s="51" t="n">
        <x:v>11.803901950975488</x:v>
      </x:c>
      <x:c r="E26" s="48" t="n">
        <x:v>0.99</x:v>
      </x:c>
      <x:c r="F26" s="45" t="n">
        <x:f>C26*D26*E26</x:f>
        <x:v>2.9214657328664333</x:v>
      </x:c>
      <x:c r="G26" s="45" t="n">
        <x:v>7.082341170585293</x:v>
      </x:c>
      <x:c r="H26" s="54" t="n">
        <x:v>0.1</x:v>
      </x:c>
      <x:c r="I26" s="45" t="n">
        <x:f>MAX(F26,G26)</x:f>
        <x:v>7.082341170585293</x:v>
      </x:c>
      <x:c r="J26" s="58" t="n">
        <x:f>ROUND(ROUNDUP(I26/H26,0)*H26,2)</x:f>
        <x:v>7.1</x:v>
      </x:c>
      <x:c r="K26" s="33"/>
      <x:c r="L26" s="33"/>
      <x:c r="M26" s="33"/>
      <x:c r="N26" s="33"/>
      <x:c r="O26" s="33"/>
    </x:row>
    <x:row r="27" ht="26" customHeight="1">
      <x:c r="A27" s="39" t="str">
        <x:v>Z025</x:v>
      </x:c>
      <x:c r="B27" s="39" t="str">
        <x:v>USD</x:v>
      </x:c>
      <x:c r="C27" s="48" t="n">
        <x:v>0.25</x:v>
      </x:c>
      <x:c r="D27" s="51" t="n">
        <x:v>1</x:v>
      </x:c>
      <x:c r="E27" s="48" t="n">
        <x:v>0.99</x:v>
      </x:c>
      <x:c r="F27" s="45" t="n">
        <x:f>C27*D27*E27</x:f>
        <x:v>0.2475</x:v>
      </x:c>
      <x:c r="G27" s="45" t="n">
        <x:v>0.6</x:v>
      </x:c>
      <x:c r="H27" s="54" t="n">
        <x:v>0.01</x:v>
      </x:c>
      <x:c r="I27" s="45" t="n">
        <x:f>MAX(F27,G27)</x:f>
        <x:v>0.6</x:v>
      </x:c>
      <x:c r="J27" s="58" t="n">
        <x:f>ROUND(ROUNDUP(I27/H27,0)*H27,2)</x:f>
        <x:v>0.6</x:v>
      </x:c>
      <x:c r="K27" s="33"/>
      <x:c r="L27" s="33"/>
      <x:c r="M27" s="33"/>
      <x:c r="N27" s="33"/>
      <x:c r="O27" s="33"/>
    </x:row>
    <x:row r="28" ht="26" customHeight="1">
      <x:c r="A28" s="39" t="str">
        <x:v>Z025</x:v>
      </x:c>
      <x:c r="B28" s="39" t="str">
        <x:v>LKR</x:v>
      </x:c>
      <x:c r="C28" s="48" t="n">
        <x:v>0.25</x:v>
      </x:c>
      <x:c r="D28" s="51" t="n">
        <x:v>339.9699849924962</x:v>
      </x:c>
      <x:c r="E28" s="48" t="n">
        <x:v>0.99</x:v>
      </x:c>
      <x:c r="F28" s="45" t="n">
        <x:f>C28*D28*E28</x:f>
        <x:v>84.14257128564282</x:v>
      </x:c>
      <x:c r="G28" s="45" t="n">
        <x:v>203.98199099549774</x:v>
      </x:c>
      <x:c r="H28" s="54" t="n">
        <x:v>10</x:v>
      </x:c>
      <x:c r="I28" s="45" t="n">
        <x:f>MAX(F28,G28)</x:f>
        <x:v>203.98199099549774</x:v>
      </x:c>
      <x:c r="J28" s="58" t="n">
        <x:f>ROUND(ROUNDUP(I28/H28,0)*H28,2)</x:f>
        <x:v>210</x:v>
      </x:c>
      <x:c r="K28" s="33"/>
      <x:c r="L28" s="33"/>
      <x:c r="M28" s="33"/>
      <x:c r="N28" s="33"/>
      <x:c r="O28" s="33"/>
    </x:row>
    <x:row r="29" ht="26" customHeight="1">
      <x:c r="A29" s="39" t="str">
        <x:v>Z025</x:v>
      </x:c>
      <x:c r="B29" s="39" t="str">
        <x:v>KHR</x:v>
      </x:c>
      <x:c r="C29" s="48" t="n">
        <x:v>0.25</x:v>
      </x:c>
      <x:c r="D29" s="51" t="n">
        <x:v>3981.990995497749</x:v>
      </x:c>
      <x:c r="E29" s="48" t="n">
        <x:v>0.99</x:v>
      </x:c>
      <x:c r="F29" s="45" t="n">
        <x:f>C29*D29*E29</x:f>
        <x:v>985.5427713856928</x:v>
      </x:c>
      <x:c r="G29" s="45" t="n">
        <x:v>2389.194597298649</x:v>
      </x:c>
      <x:c r="H29" s="54" t="n">
        <x:v>100</x:v>
      </x:c>
      <x:c r="I29" s="45" t="n">
        <x:f>MAX(F29,G29)</x:f>
        <x:v>2389.194597298649</x:v>
      </x:c>
      <x:c r="J29" s="58" t="n">
        <x:f>ROUND(ROUNDUP(I29/H29,0)*H29,2)</x:f>
        <x:v>2400</x:v>
      </x:c>
      <x:c r="K29" s="33"/>
      <x:c r="L29" s="33"/>
      <x:c r="M29" s="33"/>
      <x:c r="N29" s="33"/>
      <x:c r="O29" s="33"/>
    </x:row>
    <x:row r="30" ht="26" customHeight="1">
      <x:c r="A30" s="39" t="str">
        <x:v>Z025</x:v>
      </x:c>
      <x:c r="B30" s="39" t="str">
        <x:v>XOF</x:v>
      </x:c>
      <x:c r="C30" s="48" t="n">
        <x:v>0.25</x:v>
      </x:c>
      <x:c r="D30" s="51" t="n">
        <x:v>580.0900450225113</x:v>
      </x:c>
      <x:c r="E30" s="48" t="n">
        <x:v>0.99</x:v>
      </x:c>
      <x:c r="F30" s="45" t="n">
        <x:f>C30*D30*E30</x:f>
        <x:v>143.57228614307155</x:v>
      </x:c>
      <x:c r="G30" s="45" t="n">
        <x:v>348.05402701350675</x:v>
      </x:c>
      <x:c r="H30" s="54" t="n">
        <x:v>10</x:v>
      </x:c>
      <x:c r="I30" s="45" t="n">
        <x:f>MAX(F30,G30)</x:f>
        <x:v>348.05402701350675</x:v>
      </x:c>
      <x:c r="J30" s="58" t="n">
        <x:f>ROUND(ROUNDUP(I30/H30,0)*H30,2)</x:f>
        <x:v>350</x:v>
      </x:c>
      <x:c r="K30" s="33"/>
      <x:c r="L30" s="33"/>
      <x:c r="M30" s="33"/>
      <x:c r="N30" s="33"/>
      <x:c r="O30" s="33"/>
    </x:row>
    <x:row r="31" ht="26" customHeight="1">
      <x:c r="A31" s="39" t="str">
        <x:v>Z030</x:v>
      </x:c>
      <x:c r="B31" s="39" t="str">
        <x:v>PHP</x:v>
      </x:c>
      <x:c r="C31" s="48" t="n">
        <x:v>0.3</x:v>
      </x:c>
      <x:c r="D31" s="51" t="n">
        <x:v>63.19826579956645</x:v>
      </x:c>
      <x:c r="E31" s="48" t="n">
        <x:v>0.99</x:v>
      </x:c>
      <x:c r="F31" s="45" t="n">
        <x:f>C31*D31*E31</x:f>
        <x:v>18.769884942471236</x:v>
      </x:c>
      <x:c r="G31" s="45" t="n">
        <x:v>37.91895947973987</x:v>
      </x:c>
      <x:c r="H31" s="54" t="n">
        <x:v>1</x:v>
      </x:c>
      <x:c r="I31" s="45" t="n">
        <x:f>MAX(F31,G31)</x:f>
        <x:v>37.91895947973987</x:v>
      </x:c>
      <x:c r="J31" s="58" t="n">
        <x:f>ROUND(ROUNDUP(I31/H31,0)*H31,2)</x:f>
        <x:v>38</x:v>
      </x:c>
      <x:c r="K31" s="33"/>
      <x:c r="L31" s="33"/>
      <x:c r="M31" s="33"/>
      <x:c r="N31" s="33"/>
      <x:c r="O31" s="33"/>
    </x:row>
    <x:row r="32" ht="26" customHeight="1">
      <x:c r="A32" s="39" t="str">
        <x:v>Z030</x:v>
      </x:c>
      <x:c r="B32" s="39" t="str">
        <x:v>DZD</x:v>
      </x:c>
      <x:c r="C32" s="48" t="n">
        <x:v>0.3</x:v>
      </x:c>
      <x:c r="D32" s="51" t="n">
        <x:v>134.90078372519594</x:v>
      </x:c>
      <x:c r="E32" s="48" t="n">
        <x:v>0.99</x:v>
      </x:c>
      <x:c r="F32" s="45" t="n">
        <x:f>C32*D32*E32</x:f>
        <x:v>40.06553276638319</x:v>
      </x:c>
      <x:c r="G32" s="45" t="n">
        <x:v>80.94047023511756</x:v>
      </x:c>
      <x:c r="H32" s="54" t="n">
        <x:v>1</x:v>
      </x:c>
      <x:c r="I32" s="45" t="n">
        <x:f>MAX(F32,G32)</x:f>
        <x:v>80.94047023511756</x:v>
      </x:c>
      <x:c r="J32" s="58" t="n">
        <x:f>ROUND(ROUNDUP(I32/H32,0)*H32,2)</x:f>
        <x:v>81</x:v>
      </x:c>
      <x:c r="K32" s="33"/>
      <x:c r="L32" s="33"/>
      <x:c r="M32" s="33"/>
      <x:c r="N32" s="33"/>
      <x:c r="O32" s="33"/>
    </x:row>
    <x:row r="33" ht="26" customHeight="1">
      <x:c r="A33" s="39" t="str">
        <x:v>Z030</x:v>
      </x:c>
      <x:c r="B33" s="39" t="str">
        <x:v>MAD</x:v>
      </x:c>
      <x:c r="C33" s="48" t="n">
        <x:v>0.3</x:v>
      </x:c>
      <x:c r="D33" s="51" t="n">
        <x:v>9.83658495914624</x:v>
      </x:c>
      <x:c r="E33" s="48" t="n">
        <x:v>0.99</x:v>
      </x:c>
      <x:c r="F33" s="45" t="n">
        <x:f>C33*D33*E33</x:f>
        <x:v>2.9214657328664333</x:v>
      </x:c>
      <x:c r="G33" s="45" t="n">
        <x:v>5.901950975487744</x:v>
      </x:c>
      <x:c r="H33" s="54" t="n">
        <x:v>0.1</x:v>
      </x:c>
      <x:c r="I33" s="45" t="n">
        <x:f>MAX(F33,G33)</x:f>
        <x:v>5.901950975487744</x:v>
      </x:c>
      <x:c r="J33" s="58" t="n">
        <x:f>ROUND(ROUNDUP(I33/H33,0)*H33,2)</x:f>
        <x:v>6</x:v>
      </x:c>
      <x:c r="K33" s="33"/>
      <x:c r="L33" s="33"/>
      <x:c r="M33" s="33"/>
      <x:c r="N33" s="33"/>
      <x:c r="O33" s="33"/>
    </x:row>
    <x:row r="34" ht="26" customHeight="1">
      <x:c r="A34" s="39" t="str">
        <x:v>Z030</x:v>
      </x:c>
      <x:c r="B34" s="39" t="str">
        <x:v>NAD</x:v>
      </x:c>
      <x:c r="C34" s="48" t="n">
        <x:v>0.3</x:v>
      </x:c>
      <x:c r="D34" s="51" t="n">
        <x:v>16.506586626646655</x:v>
      </x:c>
      <x:c r="E34" s="48" t="n">
        <x:v>0.99</x:v>
      </x:c>
      <x:c r="F34" s="45" t="n">
        <x:f>C34*D34*E34</x:f>
        <x:v>4.902456228114056</x:v>
      </x:c>
      <x:c r="G34" s="45" t="n">
        <x:v>9.903951975987994</x:v>
      </x:c>
      <x:c r="H34" s="54" t="n">
        <x:v>0.1</x:v>
      </x:c>
      <x:c r="I34" s="45" t="n">
        <x:f>MAX(F34,G34)</x:f>
        <x:v>9.903951975987994</x:v>
      </x:c>
      <x:c r="J34" s="58" t="n">
        <x:f>ROUND(ROUNDUP(I34/H34,0)*H34,2)</x:f>
        <x:v>10</x:v>
      </x:c>
      <x:c r="K34" s="33"/>
      <x:c r="L34" s="33"/>
      <x:c r="M34" s="33"/>
      <x:c r="N34" s="33"/>
      <x:c r="O34" s="33"/>
    </x:row>
    <x:row r="35" ht="26" customHeight="1">
      <x:c r="A35" s="39" t="str">
        <x:v>Z030</x:v>
      </x:c>
      <x:c r="B35" s="39" t="str">
        <x:v>AZN</x:v>
      </x:c>
      <x:c r="C35" s="48" t="n">
        <x:v>0.3</x:v>
      </x:c>
      <x:c r="D35" s="51" t="n">
        <x:v>1.665832916458229</x:v>
      </x:c>
      <x:c r="E35" s="48" t="n">
        <x:v>0.99</x:v>
      </x:c>
      <x:c r="F35" s="45" t="n">
        <x:f>C35*D35*E35</x:f>
        <x:v>0.494752376188094</x:v>
      </x:c>
      <x:c r="G35" s="45" t="n">
        <x:v>0.9994997498749375</x:v>
      </x:c>
      <x:c r="H35" s="54" t="n">
        <x:v>0.01</x:v>
      </x:c>
      <x:c r="I35" s="45" t="n">
        <x:f>MAX(F35,G35)</x:f>
        <x:v>0.9994997498749375</x:v>
      </x:c>
      <x:c r="J35" s="58" t="n">
        <x:f>ROUND(ROUNDUP(I35/H35,0)*H35,2)</x:f>
        <x:v>1</x:v>
      </x:c>
      <x:c r="K35" s="33"/>
      <x:c r="L35" s="33"/>
      <x:c r="M35" s="33"/>
      <x:c r="N35" s="33"/>
      <x:c r="O35" s="33"/>
    </x:row>
    <x:row r="36" ht="26" customHeight="1">
      <x:c r="A36" s="39" t="str">
        <x:v>Z030</x:v>
      </x:c>
      <x:c r="B36" s="39" t="str">
        <x:v>THB</x:v>
      </x:c>
      <x:c r="C36" s="48" t="n">
        <x:v>0.3</x:v>
      </x:c>
      <x:c r="D36" s="51" t="n">
        <x:v>33.5</x:v>
      </x:c>
      <x:c r="E36" s="48" t="n">
        <x:v>0.99</x:v>
      </x:c>
      <x:c r="F36" s="45" t="n">
        <x:f>C36*D36*E36</x:f>
        <x:v>9.949499999999999</x:v>
      </x:c>
      <x:c r="G36" s="45" t="n">
        <x:v>20.1</x:v>
      </x:c>
      <x:c r="H36" s="54" t="n">
        <x:v>1</x:v>
      </x:c>
      <x:c r="I36" s="45" t="n">
        <x:f>MAX(F36,G36)</x:f>
        <x:v>20.1</x:v>
      </x:c>
      <x:c r="J36" s="58" t="n">
        <x:f>ROUND(ROUNDUP(I36/H36,0)*H36,2)</x:f>
        <x:v>21</x:v>
      </x:c>
      <x:c r="K36" s="33"/>
      <x:c r="L36" s="33"/>
      <x:c r="M36" s="33"/>
      <x:c r="N36" s="33"/>
      <x:c r="O36" s="33"/>
    </x:row>
    <x:row r="37" ht="26" customHeight="1">
      <x:c r="A37" s="39" t="str">
        <x:v>Z030</x:v>
      </x:c>
      <x:c r="B37" s="39" t="str">
        <x:v>HNL</x:v>
      </x:c>
      <x:c r="C37" s="48" t="n">
        <x:v>0.3</x:v>
      </x:c>
      <x:c r="D37" s="51" t="n">
        <x:v>26.513256628314156</x:v>
      </x:c>
      <x:c r="E37" s="48" t="n">
        <x:v>0.99</x:v>
      </x:c>
      <x:c r="F37" s="45" t="n">
        <x:f>C37*D37*E37</x:f>
        <x:v>7.8744372186093035</x:v>
      </x:c>
      <x:c r="G37" s="45" t="n">
        <x:v>15.907953976988495</x:v>
      </x:c>
      <x:c r="H37" s="54" t="n">
        <x:v>1</x:v>
      </x:c>
      <x:c r="I37" s="45" t="n">
        <x:f>MAX(F37,G37)</x:f>
        <x:v>15.907953976988495</x:v>
      </x:c>
      <x:c r="J37" s="58" t="n">
        <x:f>ROUND(ROUNDUP(I37/H37,0)*H37,2)</x:f>
        <x:v>16</x:v>
      </x:c>
      <x:c r="K37" s="33"/>
      <x:c r="L37" s="33"/>
      <x:c r="M37" s="33"/>
      <x:c r="N37" s="33"/>
      <x:c r="O37" s="33"/>
    </x:row>
    <x:row r="38" ht="26" customHeight="1">
      <x:c r="A38" s="39" t="str">
        <x:v>Z030</x:v>
      </x:c>
      <x:c r="B38" s="39" t="str">
        <x:v>MNT</x:v>
      </x:c>
      <x:c r="C38" s="48" t="n">
        <x:v>0.3</x:v>
      </x:c>
      <x:c r="D38" s="51" t="n">
        <x:v>3651.825912956478</x:v>
      </x:c>
      <x:c r="E38" s="48" t="n">
        <x:v>0.99</x:v>
      </x:c>
      <x:c r="F38" s="45" t="n">
        <x:f>C38*D38*E38</x:f>
        <x:v>1084.592296148074</x:v>
      </x:c>
      <x:c r="G38" s="45" t="n">
        <x:v>2191.095547773887</x:v>
      </x:c>
      <x:c r="H38" s="54" t="n">
        <x:v>100</x:v>
      </x:c>
      <x:c r="I38" s="45" t="n">
        <x:f>MAX(F38,G38)</x:f>
        <x:v>2191.095547773887</x:v>
      </x:c>
      <x:c r="J38" s="58" t="n">
        <x:f>ROUND(ROUNDUP(I38/H38,0)*H38,2)</x:f>
        <x:v>2200</x:v>
      </x:c>
      <x:c r="K38" s="33"/>
      <x:c r="L38" s="33"/>
      <x:c r="M38" s="33"/>
      <x:c r="N38" s="33"/>
      <x:c r="O38" s="33"/>
    </x:row>
    <x:row r="39" ht="26" customHeight="1">
      <x:c r="A39" s="39" t="str">
        <x:v>Z035</x:v>
      </x:c>
      <x:c r="B39" s="39" t="str">
        <x:v>MYR</x:v>
      </x:c>
      <x:c r="C39" s="48" t="n">
        <x:v>0.35</x:v>
      </x:c>
      <x:c r="D39" s="51" t="n">
        <x:v>4.143500321589366</x:v>
      </x:c>
      <x:c r="E39" s="48" t="n">
        <x:v>0.99</x:v>
      </x:c>
      <x:c r="F39" s="45" t="n">
        <x:f>C39*D39*E39</x:f>
        <x:v>1.4357228614307154</x:v>
      </x:c>
      <x:c r="G39" s="45" t="n">
        <x:v>2.4861001929536197</x:v>
      </x:c>
      <x:c r="H39" s="54" t="n">
        <x:v>0.1</x:v>
      </x:c>
      <x:c r="I39" s="45" t="n">
        <x:f>MAX(F39,G39)</x:f>
        <x:v>2.4861001929536197</x:v>
      </x:c>
      <x:c r="J39" s="58" t="n">
        <x:f>ROUND(ROUNDUP(I39/H39,0)*H39,2)</x:f>
        <x:v>2.5</x:v>
      </x:c>
      <x:c r="K39" s="33"/>
      <x:c r="L39" s="33"/>
      <x:c r="M39" s="33"/>
      <x:c r="N39" s="33"/>
      <x:c r="O39" s="33"/>
    </x:row>
    <x:row r="40" ht="26" customHeight="1">
      <x:c r="A40" s="39" t="str">
        <x:v>Z035</x:v>
      </x:c>
      <x:c r="B40" s="39" t="str">
        <x:v>COP</x:v>
      </x:c>
      <x:c r="C40" s="48" t="n">
        <x:v>0.35</x:v>
      </x:c>
      <x:c r="D40" s="51" t="n">
        <x:v>3130.1364968198386</x:v>
      </x:c>
      <x:c r="E40" s="48" t="n">
        <x:v>0.99</x:v>
      </x:c>
      <x:c r="F40" s="45" t="n">
        <x:f>C40*D40*E40</x:f>
        <x:v>1084.592296148074</x:v>
      </x:c>
      <x:c r="G40" s="45" t="n">
        <x:v>1878.081898091903</x:v>
      </x:c>
      <x:c r="H40" s="54" t="n">
        <x:v>100</x:v>
      </x:c>
      <x:c r="I40" s="45" t="n">
        <x:f>MAX(F40,G40)</x:f>
        <x:v>1878.081898091903</x:v>
      </x:c>
      <x:c r="J40" s="58" t="n">
        <x:f>ROUND(ROUNDUP(I40/H40,0)*H40,2)</x:f>
        <x:v>1900</x:v>
      </x:c>
      <x:c r="K40" s="33"/>
      <x:c r="L40" s="33"/>
      <x:c r="M40" s="33"/>
      <x:c r="N40" s="33"/>
      <x:c r="O40" s="33"/>
    </x:row>
    <x:row r="41" ht="26" customHeight="1">
      <x:c r="A41" s="39" t="str">
        <x:v>Z035</x:v>
      </x:c>
      <x:c r="B41" s="39" t="str">
        <x:v>ZAR</x:v>
      </x:c>
      <x:c r="C41" s="48" t="n">
        <x:v>0.35</x:v>
      </x:c>
      <x:c r="D41" s="51" t="n">
        <x:v>16.43536053741156</x:v>
      </x:c>
      <x:c r="E41" s="48" t="n">
        <x:v>0.99</x:v>
      </x:c>
      <x:c r="F41" s="45" t="n">
        <x:f>C41*D41*E41</x:f>
        <x:v>5.694852426213106</x:v>
      </x:c>
      <x:c r="G41" s="45" t="n">
        <x:v>9.861216322446937</x:v>
      </x:c>
      <x:c r="H41" s="54" t="n">
        <x:v>0.1</x:v>
      </x:c>
      <x:c r="I41" s="45" t="n">
        <x:f>MAX(F41,G41)</x:f>
        <x:v>9.861216322446937</x:v>
      </x:c>
      <x:c r="J41" s="58" t="n">
        <x:f>ROUND(ROUNDUP(I41/H41,0)*H41,2)</x:f>
        <x:v>9.9</x:v>
      </x:c>
      <x:c r="K41" s="33"/>
      <x:c r="L41" s="33"/>
      <x:c r="M41" s="33"/>
      <x:c r="N41" s="33"/>
      <x:c r="O41" s="33"/>
    </x:row>
    <x:row r="42" ht="26" customHeight="1">
      <x:c r="A42" s="39" t="str">
        <x:v>Z035</x:v>
      </x:c>
      <x:c r="B42" s="39" t="str">
        <x:v>USD</x:v>
      </x:c>
      <x:c r="C42" s="48" t="n">
        <x:v>0.35</x:v>
      </x:c>
      <x:c r="D42" s="51" t="n">
        <x:v>1</x:v>
      </x:c>
      <x:c r="E42" s="48" t="n">
        <x:v>0.99</x:v>
      </x:c>
      <x:c r="F42" s="45" t="n">
        <x:f>C42*D42*E42</x:f>
        <x:v>0.3465</x:v>
      </x:c>
      <x:c r="G42" s="45" t="n">
        <x:v>0.6</x:v>
      </x:c>
      <x:c r="H42" s="54" t="n">
        <x:v>0.01</x:v>
      </x:c>
      <x:c r="I42" s="45" t="n">
        <x:f>MAX(F42,G42)</x:f>
        <x:v>0.6</x:v>
      </x:c>
      <x:c r="J42" s="58" t="n">
        <x:f>ROUND(ROUNDUP(I42/H42,0)*H42,2)</x:f>
        <x:v>0.6</x:v>
      </x:c>
      <x:c r="K42" s="33"/>
      <x:c r="L42" s="33"/>
      <x:c r="M42" s="33"/>
      <x:c r="N42" s="33"/>
      <x:c r="O42" s="33"/>
    </x:row>
    <x:row r="43" ht="26" customHeight="1">
      <x:c r="A43" s="39" t="str">
        <x:v>Z035</x:v>
      </x:c>
      <x:c r="B43" s="39" t="str">
        <x:v>BWP</x:v>
      </x:c>
      <x:c r="C43" s="48" t="n">
        <x:v>0.35</x:v>
      </x:c>
      <x:c r="D43" s="51" t="n">
        <x:v>14.005574215679268</x:v>
      </x:c>
      <x:c r="E43" s="48" t="n">
        <x:v>0.99</x:v>
      </x:c>
      <x:c r="F43" s="45" t="n">
        <x:f>C43*D43*E43</x:f>
        <x:v>4.8529314657328655</x:v>
      </x:c>
      <x:c r="G43" s="45" t="n">
        <x:v>8.40334452940756</x:v>
      </x:c>
      <x:c r="H43" s="54" t="n">
        <x:v>0.1</x:v>
      </x:c>
      <x:c r="I43" s="45" t="n">
        <x:f>MAX(F43,G43)</x:f>
        <x:v>8.40334452940756</x:v>
      </x:c>
      <x:c r="J43" s="58" t="n">
        <x:f>ROUND(ROUNDUP(I43/H43,0)*H43,2)</x:f>
        <x:v>8.5</x:v>
      </x:c>
      <x:c r="K43" s="33"/>
      <x:c r="L43" s="33"/>
      <x:c r="M43" s="33"/>
      <x:c r="N43" s="33"/>
      <x:c r="O43" s="33"/>
    </x:row>
    <x:row r="44" ht="26" customHeight="1">
      <x:c r="A44" s="39" t="str">
        <x:v>Z035</x:v>
      </x:c>
      <x:c r="B44" s="39" t="str">
        <x:v>GTQ</x:v>
      </x:c>
      <x:c r="C44" s="48" t="n">
        <x:v>0.35</x:v>
      </x:c>
      <x:c r="D44" s="51" t="n">
        <x:v>7.573786893446723</x:v>
      </x:c>
      <x:c r="E44" s="48" t="n">
        <x:v>0.99</x:v>
      </x:c>
      <x:c r="F44" s="45" t="n">
        <x:f>C44*D44*E44</x:f>
        <x:v>2.6243171585792893</x:v>
      </x:c>
      <x:c r="G44" s="45" t="n">
        <x:v>4.544272136068034</x:v>
      </x:c>
      <x:c r="H44" s="54" t="n">
        <x:v>0.1</x:v>
      </x:c>
      <x:c r="I44" s="45" t="n">
        <x:f>MAX(F44,G44)</x:f>
        <x:v>4.544272136068034</x:v>
      </x:c>
      <x:c r="J44" s="58" t="n">
        <x:f>ROUND(ROUNDUP(I44/H44,0)*H44,2)</x:f>
        <x:v>4.6</x:v>
      </x:c>
      <x:c r="K44" s="33"/>
      <x:c r="L44" s="33"/>
      <x:c r="M44" s="33"/>
      <x:c r="N44" s="33"/>
      <x:c r="O44" s="33"/>
    </x:row>
    <x:row r="45" ht="26" customHeight="1">
      <x:c r="A45" s="39" t="str">
        <x:v>Z035</x:v>
      </x:c>
      <x:c r="B45" s="39" t="str">
        <x:v>XAF</x:v>
      </x:c>
      <x:c r="C45" s="48" t="n">
        <x:v>0.35</x:v>
      </x:c>
      <x:c r="D45" s="51" t="n">
        <x:v>575.0375187593797</x:v>
      </x:c>
      <x:c r="E45" s="48" t="n">
        <x:v>0.99</x:v>
      </x:c>
      <x:c r="F45" s="45" t="n">
        <x:f>C45*D45*E45</x:f>
        <x:v>199.25050025012504</x:v>
      </x:c>
      <x:c r="G45" s="45" t="n">
        <x:v>345.0225112556278</x:v>
      </x:c>
      <x:c r="H45" s="54" t="n">
        <x:v>10</x:v>
      </x:c>
      <x:c r="I45" s="45" t="n">
        <x:f>MAX(F45,G45)</x:f>
        <x:v>345.0225112556278</x:v>
      </x:c>
      <x:c r="J45" s="58" t="n">
        <x:f>ROUND(ROUNDUP(I45/H45,0)*H45,2)</x:f>
        <x:v>350</x:v>
      </x:c>
      <x:c r="K45" s="33"/>
      <x:c r="L45" s="33"/>
      <x:c r="M45" s="33"/>
      <x:c r="N45" s="33"/>
      <x:c r="O45" s="33"/>
    </x:row>
    <x:row r="46" ht="26" customHeight="1">
      <x:c r="A46" s="39" t="str">
        <x:v>Z035</x:v>
      </x:c>
      <x:c r="B46" s="39" t="str">
        <x:v>GEL</x:v>
      </x:c>
      <x:c r="C46" s="48" t="n">
        <x:v>0.35</x:v>
      </x:c>
      <x:c r="D46" s="51" t="n">
        <x:v>2.571285642821411</x:v>
      </x:c>
      <x:c r="E46" s="48" t="n">
        <x:v>0.99</x:v>
      </x:c>
      <x:c r="F46" s="45" t="n">
        <x:f>C46*D46*E46</x:f>
        <x:v>0.8909504752376188</x:v>
      </x:c>
      <x:c r="G46" s="45" t="n">
        <x:v>1.5427713856928464</x:v>
      </x:c>
      <x:c r="H46" s="54" t="n">
        <x:v>0.1</x:v>
      </x:c>
      <x:c r="I46" s="45" t="n">
        <x:f>MAX(F46,G46)</x:f>
        <x:v>1.5427713856928464</x:v>
      </x:c>
      <x:c r="J46" s="58" t="n">
        <x:f>ROUND(ROUNDUP(I46/H46,0)*H46,2)</x:f>
        <x:v>1.6</x:v>
      </x:c>
      <x:c r="K46" s="33"/>
      <x:c r="L46" s="33"/>
      <x:c r="M46" s="33"/>
      <x:c r="N46" s="33"/>
      <x:c r="O46" s="33"/>
    </x:row>
    <x:row r="47" ht="26" customHeight="1">
      <x:c r="A47" s="39" t="str">
        <x:v>Z035</x:v>
      </x:c>
      <x:c r="B47" s="39" t="str">
        <x:v>LBP</x:v>
      </x:c>
      <x:c r="C47" s="48" t="n">
        <x:v>0.35</x:v>
      </x:c>
      <x:c r="D47" s="51" t="n">
        <x:v>89902.0939040949</x:v>
      </x:c>
      <x:c r="E47" s="48" t="n">
        <x:v>0.99</x:v>
      </x:c>
      <x:c r="F47" s="45" t="n">
        <x:f>C47*D47*E47</x:f>
        <x:v>31151.07553776888</x:v>
      </x:c>
      <x:c r="G47" s="45" t="n">
        <x:v>53941.256342456945</x:v>
      </x:c>
      <x:c r="H47" s="54" t="n">
        <x:v>100</x:v>
      </x:c>
      <x:c r="I47" s="45" t="n">
        <x:f>MAX(F47,G47)</x:f>
        <x:v>53941.256342456945</x:v>
      </x:c>
      <x:c r="J47" s="58" t="n">
        <x:f>ROUND(ROUNDUP(I47/H47,0)*H47,2)</x:f>
        <x:v>54000</x:v>
      </x:c>
      <x:c r="K47" s="33"/>
      <x:c r="L47" s="33"/>
      <x:c r="M47" s="33"/>
      <x:c r="N47" s="33"/>
      <x:c r="O47" s="33"/>
    </x:row>
    <x:row r="48" ht="26" customHeight="1">
      <x:c r="A48" s="39" t="str">
        <x:v>Z035</x:v>
      </x:c>
      <x:c r="B48" s="39" t="str">
        <x:v>MDL</x:v>
      </x:c>
      <x:c r="C48" s="48" t="n">
        <x:v>0.35</x:v>
      </x:c>
      <x:c r="D48" s="51" t="n">
        <x:v>17.864646609018795</x:v>
      </x:c>
      <x:c r="E48" s="48" t="n">
        <x:v>0.99</x:v>
      </x:c>
      <x:c r="F48" s="45" t="n">
        <x:f>C48*D48*E48</x:f>
        <x:v>6.190100050025013</x:v>
      </x:c>
      <x:c r="G48" s="45" t="n">
        <x:v>10.718787965411277</x:v>
      </x:c>
      <x:c r="H48" s="54" t="n">
        <x:v>1</x:v>
      </x:c>
      <x:c r="I48" s="45" t="n">
        <x:f>MAX(F48,G48)</x:f>
        <x:v>10.718787965411277</x:v>
      </x:c>
      <x:c r="J48" s="58" t="n">
        <x:f>ROUND(ROUNDUP(I48/H48,0)*H48,2)</x:f>
        <x:v>11</x:v>
      </x:c>
      <x:c r="K48" s="33"/>
      <x:c r="L48" s="33"/>
      <x:c r="M48" s="33"/>
      <x:c r="N48" s="33"/>
      <x:c r="O48" s="33"/>
    </x:row>
    <x:row r="49" ht="26" customHeight="1">
      <x:c r="A49" s="39" t="str">
        <x:v>Z040</x:v>
      </x:c>
      <x:c r="B49" s="39" t="str">
        <x:v>BRL</x:v>
      </x:c>
      <x:c r="C49" s="48" t="n">
        <x:v>0.4</x:v>
      </x:c>
      <x:c r="D49" s="51" t="n">
        <x:v>5.12631315657829</x:v>
      </x:c>
      <x:c r="E49" s="48" t="n">
        <x:v>0.99</x:v>
      </x:c>
      <x:c r="F49" s="45" t="n">
        <x:f>C49*D49*E49</x:f>
        <x:v>2.0300200100050025</x:v>
      </x:c>
      <x:c r="G49" s="45" t="n">
        <x:v>3.0757878939469734</x:v>
      </x:c>
      <x:c r="H49" s="54" t="n">
        <x:v>0.1</x:v>
      </x:c>
      <x:c r="I49" s="45" t="n">
        <x:f>MAX(F49,G49)</x:f>
        <x:v>3.0757878939469734</x:v>
      </x:c>
      <x:c r="J49" s="58" t="n">
        <x:f>ROUND(ROUNDUP(I49/H49,0)*H49,2)</x:f>
        <x:v>3.1</x:v>
      </x:c>
      <x:c r="K49" s="33"/>
      <x:c r="L49" s="33"/>
      <x:c r="M49" s="33"/>
      <x:c r="N49" s="33"/>
      <x:c r="O49" s="33"/>
    </x:row>
    <x:row r="50" ht="26" customHeight="1">
      <x:c r="A50" s="39" t="str">
        <x:v>Z040</x:v>
      </x:c>
      <x:c r="B50" s="39" t="str">
        <x:v>ARS</x:v>
      </x:c>
      <x:c r="C50" s="48" t="n">
        <x:v>0.4</x:v>
      </x:c>
      <x:c r="D50" s="51" t="n">
        <x:v>1488.2441220610306</x:v>
      </x:c>
      <x:c r="E50" s="48" t="n">
        <x:v>0.99</x:v>
      </x:c>
      <x:c r="F50" s="45" t="n">
        <x:f>C50*D50*E50</x:f>
        <x:v>589.3446723361682</x:v>
      </x:c>
      <x:c r="G50" s="45" t="n">
        <x:v>892.9464732366183</x:v>
      </x:c>
      <x:c r="H50" s="54" t="n">
        <x:v>10</x:v>
      </x:c>
      <x:c r="I50" s="45" t="n">
        <x:f>MAX(F50,G50)</x:f>
        <x:v>892.9464732366183</x:v>
      </x:c>
      <x:c r="J50" s="58" t="n">
        <x:f>ROUND(ROUNDUP(I50/H50,0)*H50,2)</x:f>
        <x:v>900</x:v>
      </x:c>
      <x:c r="K50" s="33"/>
      <x:c r="L50" s="33"/>
      <x:c r="M50" s="33"/>
      <x:c r="N50" s="33"/>
      <x:c r="O50" s="33"/>
    </x:row>
    <x:row r="51" ht="26" customHeight="1">
      <x:c r="A51" s="39" t="str">
        <x:v>Z040</x:v>
      </x:c>
      <x:c r="B51" s="39" t="str">
        <x:v>TRY</x:v>
      </x:c>
      <x:c r="C51" s="48" t="n">
        <x:v>0.4</x:v>
      </x:c>
      <x:c r="D51" s="51" t="n">
        <x:v>49.89994997498749</x:v>
      </x:c>
      <x:c r="E51" s="48" t="n">
        <x:v>0.99</x:v>
      </x:c>
      <x:c r="F51" s="45" t="n">
        <x:f>C51*D51*E51</x:f>
        <x:v>19.76038019009505</x:v>
      </x:c>
      <x:c r="G51" s="45" t="n">
        <x:v>29.939969984992498</x:v>
      </x:c>
      <x:c r="H51" s="54" t="n">
        <x:v>1</x:v>
      </x:c>
      <x:c r="I51" s="45" t="n">
        <x:f>MAX(F51,G51)</x:f>
        <x:v>29.939969984992498</x:v>
      </x:c>
      <x:c r="J51" s="58" t="n">
        <x:f>ROUND(ROUNDUP(I51/H51,0)*H51,2)</x:f>
        <x:v>30</x:v>
      </x:c>
      <x:c r="K51" s="33"/>
      <x:c r="L51" s="33"/>
      <x:c r="M51" s="33"/>
      <x:c r="N51" s="33"/>
      <x:c r="O51" s="33"/>
    </x:row>
    <x:row r="52" ht="26" customHeight="1">
      <x:c r="A52" s="39" t="str">
        <x:v>Z040</x:v>
      </x:c>
      <x:c r="B52" s="39" t="str">
        <x:v>JMD</x:v>
      </x:c>
      <x:c r="C52" s="48" t="n">
        <x:v>0.4</x:v>
      </x:c>
      <x:c r="D52" s="51" t="n">
        <x:v>162.45622811405704</x:v>
      </x:c>
      <x:c r="E52" s="48" t="n">
        <x:v>0.99</x:v>
      </x:c>
      <x:c r="F52" s="45" t="n">
        <x:f>C52*D52*E52</x:f>
        <x:v>64.3326663331666</x:v>
      </x:c>
      <x:c r="G52" s="45" t="n">
        <x:v>97.47373686843422</x:v>
      </x:c>
      <x:c r="H52" s="54" t="n">
        <x:v>1</x:v>
      </x:c>
      <x:c r="I52" s="45" t="n">
        <x:f>MAX(F52,G52)</x:f>
        <x:v>97.47373686843422</x:v>
      </x:c>
      <x:c r="J52" s="58" t="n">
        <x:f>ROUND(ROUNDUP(I52/H52,0)*H52,2)</x:f>
        <x:v>98</x:v>
      </x:c>
      <x:c r="K52" s="33"/>
      <x:c r="L52" s="33"/>
      <x:c r="M52" s="33"/>
      <x:c r="N52" s="33"/>
      <x:c r="O52" s="33"/>
    </x:row>
    <x:row r="53" ht="26" customHeight="1">
      <x:c r="A53" s="39" t="str">
        <x:v>Z040</x:v>
      </x:c>
      <x:c r="B53" s="39" t="str">
        <x:v>PEN</x:v>
      </x:c>
      <x:c r="C53" s="48" t="n">
        <x:v>0.4</x:v>
      </x:c>
      <x:c r="D53" s="51" t="n">
        <x:v>3.3754377188594296</x:v>
      </x:c>
      <x:c r="E53" s="48" t="n">
        <x:v>0.99</x:v>
      </x:c>
      <x:c r="F53" s="45" t="n">
        <x:f>C53*D53*E53</x:f>
        <x:v>1.336673336668334</x:v>
      </x:c>
      <x:c r="G53" s="45" t="n">
        <x:v>2.0252626313156576</x:v>
      </x:c>
      <x:c r="H53" s="54" t="n">
        <x:v>0.1</x:v>
      </x:c>
      <x:c r="I53" s="45" t="n">
        <x:f>MAX(F53,G53)</x:f>
        <x:v>2.0252626313156576</x:v>
      </x:c>
      <x:c r="J53" s="58" t="n">
        <x:f>ROUND(ROUNDUP(I53/H53,0)*H53,2)</x:f>
        <x:v>2.1</x:v>
      </x:c>
      <x:c r="K53" s="33"/>
      <x:c r="L53" s="33"/>
      <x:c r="M53" s="33"/>
      <x:c r="N53" s="33"/>
      <x:c r="O53" s="33"/>
    </x:row>
    <x:row r="54" ht="26" customHeight="1">
      <x:c r="A54" s="39" t="str">
        <x:v>Z040</x:v>
      </x:c>
      <x:c r="B54" s="39" t="str">
        <x:v>BZD</x:v>
      </x:c>
      <x:c r="C54" s="48" t="n">
        <x:v>0.4</x:v>
      </x:c>
      <x:c r="D54" s="51" t="n">
        <x:v>1.9997498749374687</x:v>
      </x:c>
      <x:c r="E54" s="48" t="n">
        <x:v>0.99</x:v>
      </x:c>
      <x:c r="F54" s="45" t="n">
        <x:f>C54*D54*E54</x:f>
        <x:v>0.7919009504752376</x:v>
      </x:c>
      <x:c r="G54" s="45" t="n">
        <x:v>1.1998499249624812</x:v>
      </x:c>
      <x:c r="H54" s="54" t="n">
        <x:v>0.1</x:v>
      </x:c>
      <x:c r="I54" s="45" t="n">
        <x:f>MAX(F54,G54)</x:f>
        <x:v>1.1998499249624812</x:v>
      </x:c>
      <x:c r="J54" s="58" t="n">
        <x:f>ROUND(ROUNDUP(I54/H54,0)*H54,2)</x:f>
        <x:v>1.2</x:v>
      </x:c>
      <x:c r="K54" s="33"/>
      <x:c r="L54" s="33"/>
      <x:c r="M54" s="33"/>
      <x:c r="N54" s="33"/>
      <x:c r="O54" s="33"/>
    </x:row>
    <x:row r="55" ht="26" customHeight="1">
      <x:c r="A55" s="39" t="str">
        <x:v>Z040</x:v>
      </x:c>
      <x:c r="B55" s="39" t="str">
        <x:v>ALL</x:v>
      </x:c>
      <x:c r="C55" s="48" t="n">
        <x:v>0.4</x:v>
      </x:c>
      <x:c r="D55" s="51" t="n">
        <x:v>81.16558279139569</x:v>
      </x:c>
      <x:c r="E55" s="48" t="n">
        <x:v>0.99</x:v>
      </x:c>
      <x:c r="F55" s="45" t="n">
        <x:f>C55*D55*E55</x:f>
        <x:v>32.141570785392695</x:v>
      </x:c>
      <x:c r="G55" s="45" t="n">
        <x:v>48.69934967483742</x:v>
      </x:c>
      <x:c r="H55" s="54" t="n">
        <x:v>1</x:v>
      </x:c>
      <x:c r="I55" s="45" t="n">
        <x:f>MAX(F55,G55)</x:f>
        <x:v>48.69934967483742</x:v>
      </x:c>
      <x:c r="J55" s="58" t="n">
        <x:f>ROUND(ROUNDUP(I55/H55,0)*H55,2)</x:f>
        <x:v>49</x:v>
      </x:c>
      <x:c r="K55" s="33"/>
      <x:c r="L55" s="33"/>
      <x:c r="M55" s="33"/>
      <x:c r="N55" s="33"/>
      <x:c r="O55" s="33"/>
    </x:row>
    <x:row r="56" ht="26" customHeight="1">
      <x:c r="A56" s="39" t="str">
        <x:v>Z040</x:v>
      </x:c>
      <x:c r="B56" s="39" t="str">
        <x:v>KZT</x:v>
      </x:c>
      <x:c r="C56" s="48" t="n">
        <x:v>0.4</x:v>
      </x:c>
      <x:c r="D56" s="51" t="n">
        <x:v>450.1000500250125</x:v>
      </x:c>
      <x:c r="E56" s="48" t="n">
        <x:v>0.99</x:v>
      </x:c>
      <x:c r="F56" s="45" t="n">
        <x:f>C56*D56*E56</x:f>
        <x:v>178.23961980990495</x:v>
      </x:c>
      <x:c r="G56" s="45" t="n">
        <x:v>270.0600300150075</x:v>
      </x:c>
      <x:c r="H56" s="54" t="n">
        <x:v>10</x:v>
      </x:c>
      <x:c r="I56" s="45" t="n">
        <x:f>MAX(F56,G56)</x:f>
        <x:v>270.0600300150075</x:v>
      </x:c>
      <x:c r="J56" s="58" t="n">
        <x:f>ROUND(ROUNDUP(I56/H56,0)*H56,2)</x:f>
        <x:v>280</x:v>
      </x:c>
      <x:c r="K56" s="33"/>
      <x:c r="L56" s="33"/>
      <x:c r="M56" s="33"/>
      <x:c r="N56" s="33"/>
      <x:c r="O56" s="33"/>
    </x:row>
    <x:row r="57" ht="26" customHeight="1">
      <x:c r="A57" s="39" t="str">
        <x:v>Z040</x:v>
      </x:c>
      <x:c r="B57" s="39" t="str">
        <x:v>EUR</x:v>
      </x:c>
      <x:c r="C57" s="48" t="n">
        <x:v>0.4</x:v>
      </x:c>
      <x:c r="D57" s="51" t="n">
        <x:v>0.8748124062031015</x:v>
      </x:c>
      <x:c r="E57" s="48" t="n">
        <x:v>0.99</x:v>
      </x:c>
      <x:c r="F57" s="45" t="n">
        <x:f>C57*D57*E57</x:f>
        <x:v>0.3464257128564282</x:v>
      </x:c>
      <x:c r="G57" s="45" t="n">
        <x:v>0.5248874437218609</x:v>
      </x:c>
      <x:c r="H57" s="54" t="n">
        <x:v>0.01</x:v>
      </x:c>
      <x:c r="I57" s="45" t="n">
        <x:f>MAX(F57,G57)</x:f>
        <x:v>0.5248874437218609</x:v>
      </x:c>
      <x:c r="J57" s="58" t="n">
        <x:f>ROUND(ROUNDUP(I57/H57,0)*H57,2)</x:f>
        <x:v>0.53</x:v>
      </x:c>
      <x:c r="K57" s="33"/>
      <x:c r="L57" s="33"/>
      <x:c r="M57" s="33"/>
      <x:c r="N57" s="33"/>
      <x:c r="O57" s="33"/>
    </x:row>
    <x:row r="58" ht="26" customHeight="1">
      <x:c r="A58" s="39" t="str">
        <x:v>Z040</x:v>
      </x:c>
      <x:c r="B58" s="39" t="str">
        <x:v>PGK</x:v>
      </x:c>
      <x:c r="C58" s="48" t="n">
        <x:v>0.4</x:v>
      </x:c>
      <x:c r="D58" s="51" t="n">
        <x:v>4.501000500250125</x:v>
      </x:c>
      <x:c r="E58" s="48" t="n">
        <x:v>0.99</x:v>
      </x:c>
      <x:c r="F58" s="45" t="n">
        <x:f>C58*D58*E58</x:f>
        <x:v>1.7823961980990495</x:v>
      </x:c>
      <x:c r="G58" s="45" t="n">
        <x:v>2.700600300150075</x:v>
      </x:c>
      <x:c r="H58" s="54" t="n">
        <x:v>0.1</x:v>
      </x:c>
      <x:c r="I58" s="45" t="n">
        <x:f>MAX(F58,G58)</x:f>
        <x:v>2.700600300150075</x:v>
      </x:c>
      <x:c r="J58" s="58" t="n">
        <x:f>ROUND(ROUNDUP(I58/H58,0)*H58,2)</x:f>
        <x:v>2.8</x:v>
      </x:c>
      <x:c r="K58" s="33"/>
      <x:c r="L58" s="33"/>
      <x:c r="M58" s="33"/>
      <x:c r="N58" s="33"/>
      <x:c r="O58" s="33"/>
    </x:row>
    <x:row r="59" ht="26" customHeight="1">
      <x:c r="A59" s="39" t="str">
        <x:v>Z040</x:v>
      </x:c>
      <x:c r="B59" s="39" t="str">
        <x:v>RSD</x:v>
      </x:c>
      <x:c r="C59" s="48" t="n">
        <x:v>0.4</x:v>
      </x:c>
      <x:c r="D59" s="51" t="n">
        <x:v>104.92746373186593</x:v>
      </x:c>
      <x:c r="E59" s="48" t="n">
        <x:v>0.99</x:v>
      </x:c>
      <x:c r="F59" s="45" t="n">
        <x:f>C59*D59*E59</x:f>
        <x:v>41.55127563781891</x:v>
      </x:c>
      <x:c r="G59" s="45" t="n">
        <x:v>62.95647823911956</x:v>
      </x:c>
      <x:c r="H59" s="54" t="n">
        <x:v>1</x:v>
      </x:c>
      <x:c r="I59" s="45" t="n">
        <x:f>MAX(F59,G59)</x:f>
        <x:v>62.95647823911956</x:v>
      </x:c>
      <x:c r="J59" s="58" t="n">
        <x:f>ROUND(ROUNDUP(I59/H59,0)*H59,2)</x:f>
        <x:v>63</x:v>
      </x:c>
      <x:c r="K59" s="33"/>
      <x:c r="L59" s="33"/>
      <x:c r="M59" s="33"/>
      <x:c r="N59" s="33"/>
      <x:c r="O59" s="33"/>
    </x:row>
    <x:row r="60" ht="26" customHeight="1">
      <x:c r="A60" s="39" t="str">
        <x:v>Z045</x:v>
      </x:c>
      <x:c r="B60" s="39" t="str">
        <x:v>MXN</x:v>
      </x:c>
      <x:c r="C60" s="48" t="n">
        <x:v>0.45</x:v>
      </x:c>
      <x:c r="D60" s="51" t="n">
        <x:v>18.452559613139904</x:v>
      </x:c>
      <x:c r="E60" s="48" t="n">
        <x:v>0.99</x:v>
      </x:c>
      <x:c r="F60" s="45" t="n">
        <x:f>C60*D60*E60</x:f>
        <x:v>8.220615307653828</x:v>
      </x:c>
      <x:c r="G60" s="45" t="n">
        <x:v>11.071535767883942</x:v>
      </x:c>
      <x:c r="H60" s="54" t="n">
        <x:v>1</x:v>
      </x:c>
      <x:c r="I60" s="45" t="n">
        <x:f>MAX(F60,G60)</x:f>
        <x:v>11.071535767883942</x:v>
      </x:c>
      <x:c r="J60" s="58" t="n">
        <x:f>ROUND(ROUNDUP(I60/H60,0)*H60,2)</x:f>
        <x:v>12</x:v>
      </x:c>
      <x:c r="K60" s="33"/>
      <x:c r="L60" s="33"/>
      <x:c r="M60" s="33"/>
      <x:c r="N60" s="33"/>
      <x:c r="O60" s="33"/>
    </x:row>
    <x:row r="61" ht="26" customHeight="1">
      <x:c r="A61" s="39" t="str">
        <x:v>Z045</x:v>
      </x:c>
      <x:c r="B61" s="39" t="str">
        <x:v>CNY</x:v>
      </x:c>
      <x:c r="C61" s="48" t="n">
        <x:v>0.45</x:v>
      </x:c>
      <x:c r="D61" s="51" t="n">
        <x:v>6.668890000555834</x:v>
      </x:c>
      <x:c r="E61" s="48" t="n">
        <x:v>0.99</x:v>
      </x:c>
      <x:c r="F61" s="45" t="n">
        <x:f>C61*D61*E61</x:f>
        <x:v>2.970990495247624</x:v>
      </x:c>
      <x:c r="G61" s="45" t="n">
        <x:v>4.0013340003335</x:v>
      </x:c>
      <x:c r="H61" s="54" t="n">
        <x:v>0.1</x:v>
      </x:c>
      <x:c r="I61" s="45" t="n">
        <x:f>MAX(F61,G61)</x:f>
        <x:v>4.0013340003335</x:v>
      </x:c>
      <x:c r="J61" s="58" t="n">
        <x:f>ROUND(ROUNDUP(I61/H61,0)*H61,2)</x:f>
        <x:v>4.1</x:v>
      </x:c>
      <x:c r="K61" s="33"/>
      <x:c r="L61" s="33"/>
      <x:c r="M61" s="33"/>
      <x:c r="N61" s="33"/>
      <x:c r="O61" s="33"/>
    </x:row>
    <x:row r="62" ht="26" customHeight="1">
      <x:c r="A62" s="39" t="str">
        <x:v>Z045</x:v>
      </x:c>
      <x:c r="B62" s="39" t="str">
        <x:v>RON</x:v>
      </x:c>
      <x:c r="C62" s="48" t="n">
        <x:v>0.45</x:v>
      </x:c>
      <x:c r="D62" s="51" t="n">
        <x:v>4.779056194764049</x:v>
      </x:c>
      <x:c r="E62" s="48" t="n">
        <x:v>0.99</x:v>
      </x:c>
      <x:c r="F62" s="45" t="n">
        <x:f>C62*D62*E62</x:f>
        <x:v>2.1290695347673836</x:v>
      </x:c>
      <x:c r="G62" s="45" t="n">
        <x:v>2.867433716858429</x:v>
      </x:c>
      <x:c r="H62" s="54" t="n">
        <x:v>0.1</x:v>
      </x:c>
      <x:c r="I62" s="45" t="n">
        <x:f>MAX(F62,G62)</x:f>
        <x:v>2.867433716858429</x:v>
      </x:c>
      <x:c r="J62" s="58" t="n">
        <x:f>ROUND(ROUNDUP(I62/H62,0)*H62,2)</x:f>
        <x:v>2.9</x:v>
      </x:c>
      <x:c r="K62" s="33"/>
      <x:c r="L62" s="33"/>
      <x:c r="M62" s="33"/>
      <x:c r="N62" s="33"/>
      <x:c r="O62" s="33"/>
    </x:row>
    <x:row r="63" ht="26" customHeight="1">
      <x:c r="A63" s="39" t="str">
        <x:v>Z045</x:v>
      </x:c>
      <x:c r="B63" s="39" t="str">
        <x:v>XCD</x:v>
      </x:c>
      <x:c r="C63" s="48" t="n">
        <x:v>0.45</x:v>
      </x:c>
      <x:c r="D63" s="51" t="n">
        <x:v>2.6668890000555834</x:v>
      </x:c>
      <x:c r="E63" s="48" t="n">
        <x:v>0.99</x:v>
      </x:c>
      <x:c r="F63" s="45" t="n">
        <x:f>C63*D63*E63</x:f>
        <x:v>1.1880990495247623</x:v>
      </x:c>
      <x:c r="G63" s="45" t="n">
        <x:v>1.60013340003335</x:v>
      </x:c>
      <x:c r="H63" s="54" t="n">
        <x:v>0.1</x:v>
      </x:c>
      <x:c r="I63" s="45" t="n">
        <x:f>MAX(F63,G63)</x:f>
        <x:v>1.60013340003335</x:v>
      </x:c>
      <x:c r="J63" s="58" t="n">
        <x:f>ROUND(ROUNDUP(I63/H63,0)*H63,2)</x:f>
        <x:v>1.7</x:v>
      </x:c>
      <x:c r="K63" s="33"/>
      <x:c r="L63" s="33"/>
      <x:c r="M63" s="33"/>
      <x:c r="N63" s="33"/>
      <x:c r="O63" s="33"/>
    </x:row>
    <x:row r="64" ht="26" customHeight="1">
      <x:c r="A64" s="39" t="str">
        <x:v>Z045</x:v>
      </x:c>
      <x:c r="B64" s="39" t="str">
        <x:v>CLP</x:v>
      </x:c>
      <x:c r="C64" s="48" t="n">
        <x:v>0.45</x:v>
      </x:c>
      <x:c r="D64" s="51" t="n">
        <x:v>978.1557445389361</x:v>
      </x:c>
      <x:c r="E64" s="48" t="n">
        <x:v>0.99</x:v>
      </x:c>
      <x:c r="F64" s="45" t="n">
        <x:f>C64*D64*E64</x:f>
        <x:v>435.768384192096</x:v>
      </x:c>
      <x:c r="G64" s="45" t="n">
        <x:v>586.8934467233616</x:v>
      </x:c>
      <x:c r="H64" s="54" t="n">
        <x:v>10</x:v>
      </x:c>
      <x:c r="I64" s="45" t="n">
        <x:f>MAX(F64,G64)</x:f>
        <x:v>586.8934467233616</x:v>
      </x:c>
      <x:c r="J64" s="58" t="n">
        <x:f>ROUND(ROUNDUP(I64/H64,0)*H64,2)</x:f>
        <x:v>590</x:v>
      </x:c>
      <x:c r="K64" s="33"/>
      <x:c r="L64" s="33"/>
      <x:c r="M64" s="33"/>
      <x:c r="N64" s="33"/>
      <x:c r="O64" s="33"/>
    </x:row>
    <x:row r="65" ht="26" customHeight="1">
      <x:c r="A65" s="39" t="str">
        <x:v>Z045</x:v>
      </x:c>
      <x:c r="B65" s="39" t="str">
        <x:v>MVR</x:v>
      </x:c>
      <x:c r="C65" s="48" t="n">
        <x:v>0.45</x:v>
      </x:c>
      <x:c r="D65" s="51" t="n">
        <x:v>15.451058862764716</x:v>
      </x:c>
      <x:c r="E65" s="48" t="n">
        <x:v>0.99</x:v>
      </x:c>
      <x:c r="F65" s="45" t="n">
        <x:f>C65*D65*E65</x:f>
        <x:v>6.883446723361681</x:v>
      </x:c>
      <x:c r="G65" s="45" t="n">
        <x:v>9.27063531765883</x:v>
      </x:c>
      <x:c r="H65" s="54" t="n">
        <x:v>0.1</x:v>
      </x:c>
      <x:c r="I65" s="45" t="n">
        <x:f>MAX(F65,G65)</x:f>
        <x:v>9.27063531765883</x:v>
      </x:c>
      <x:c r="J65" s="58" t="n">
        <x:f>ROUND(ROUNDUP(I65/H65,0)*H65,2)</x:f>
        <x:v>9.3</x:v>
      </x:c>
      <x:c r="K65" s="33"/>
      <x:c r="L65" s="33"/>
      <x:c r="M65" s="33"/>
      <x:c r="N65" s="33"/>
      <x:c r="O65" s="33"/>
    </x:row>
    <x:row r="66" ht="26" customHeight="1">
      <x:c r="A66" s="39" t="str">
        <x:v>Z050</x:v>
      </x:c>
      <x:c r="B66" s="39" t="str">
        <x:v>USD</x:v>
      </x:c>
      <x:c r="C66" s="48" t="n">
        <x:v>0.5</x:v>
      </x:c>
      <x:c r="D66" s="51" t="n">
        <x:v>1</x:v>
      </x:c>
      <x:c r="E66" s="48" t="n">
        <x:v>0.99</x:v>
      </x:c>
      <x:c r="F66" s="45" t="n">
        <x:f>C66*D66*E66</x:f>
        <x:v>0.495</x:v>
      </x:c>
      <x:c r="G66" s="45" t="n">
        <x:v>0.6</x:v>
      </x:c>
      <x:c r="H66" s="54" t="n">
        <x:v>0.01</x:v>
      </x:c>
      <x:c r="I66" s="45" t="n">
        <x:f>MAX(F66,G66)</x:f>
        <x:v>0.6</x:v>
      </x:c>
      <x:c r="J66" s="58" t="n">
        <x:f>ROUND(ROUNDUP(I66/H66,0)*H66,2)</x:f>
        <x:v>0.6</x:v>
      </x:c>
      <x:c r="K66" s="33"/>
      <x:c r="L66" s="33"/>
      <x:c r="M66" s="33"/>
      <x:c r="N66" s="33"/>
      <x:c r="O66" s="33"/>
    </x:row>
    <x:row r="67" ht="26" customHeight="1">
      <x:c r="A67" s="39" t="str">
        <x:v>Z050</x:v>
      </x:c>
      <x:c r="B67" s="39" t="str">
        <x:v>CRC</x:v>
      </x:c>
      <x:c r="C67" s="48" t="n">
        <x:v>0.5</x:v>
      </x:c>
      <x:c r="D67" s="51" t="n">
        <x:v>460.13006503251626</x:v>
      </x:c>
      <x:c r="E67" s="48" t="n">
        <x:v>0.99</x:v>
      </x:c>
      <x:c r="F67" s="45" t="n">
        <x:f>C67*D67*E67</x:f>
        <x:v>227.76438219109554</x:v>
      </x:c>
      <x:c r="G67" s="45" t="n">
        <x:v>276.07803901950973</x:v>
      </x:c>
      <x:c r="H67" s="54" t="n">
        <x:v>10</x:v>
      </x:c>
      <x:c r="I67" s="45" t="n">
        <x:f>MAX(F67,G67)</x:f>
        <x:v>276.07803901950973</x:v>
      </x:c>
      <x:c r="J67" s="58" t="n">
        <x:f>ROUND(ROUNDUP(I67/H67,0)*H67,2)</x:f>
        <x:v>280</x:v>
      </x:c>
      <x:c r="K67" s="33"/>
      <x:c r="L67" s="33"/>
      <x:c r="M67" s="33"/>
      <x:c r="N67" s="33"/>
      <x:c r="O67" s="33"/>
    </x:row>
    <x:row r="68" ht="26" customHeight="1">
      <x:c r="A68" s="39" t="str">
        <x:v>Z050</x:v>
      </x:c>
      <x:c r="B68" s="39" t="str">
        <x:v>EUR</x:v>
      </x:c>
      <x:c r="C68" s="48" t="n">
        <x:v>0.5</x:v>
      </x:c>
      <x:c r="D68" s="51" t="n">
        <x:v>0.8748124062031015</x:v>
      </x:c>
      <x:c r="E68" s="48" t="n">
        <x:v>0.99</x:v>
      </x:c>
      <x:c r="F68" s="45" t="n">
        <x:f>C68*D68*E68</x:f>
        <x:v>0.4330321410705352</x:v>
      </x:c>
      <x:c r="G68" s="45" t="n">
        <x:v>0.5248874437218609</x:v>
      </x:c>
      <x:c r="H68" s="54" t="n">
        <x:v>0.01</x:v>
      </x:c>
      <x:c r="I68" s="45" t="n">
        <x:f>MAX(F68,G68)</x:f>
        <x:v>0.5248874437218609</x:v>
      </x:c>
      <x:c r="J68" s="58" t="n">
        <x:f>ROUND(ROUNDUP(I68/H68,0)*H68,2)</x:f>
        <x:v>0.53</x:v>
      </x:c>
      <x:c r="K68" s="33"/>
      <x:c r="L68" s="33"/>
      <x:c r="M68" s="33"/>
      <x:c r="N68" s="33"/>
      <x:c r="O68" s="33"/>
    </x:row>
    <x:row r="69" ht="26" customHeight="1">
      <x:c r="A69" s="39" t="str">
        <x:v>Z050</x:v>
      </x:c>
      <x:c r="B69" s="39" t="str">
        <x:v>HUF</x:v>
      </x:c>
      <x:c r="C69" s="48" t="n">
        <x:v>0.5</x:v>
      </x:c>
      <x:c r="D69" s="51" t="n">
        <x:v>320.0600300150075</x:v>
      </x:c>
      <x:c r="E69" s="48" t="n">
        <x:v>0.99</x:v>
      </x:c>
      <x:c r="F69" s="45" t="n">
        <x:f>C69*D69*E69</x:f>
        <x:v>158.4297148574287</x:v>
      </x:c>
      <x:c r="G69" s="45" t="n">
        <x:v>192.0360180090045</x:v>
      </x:c>
      <x:c r="H69" s="54" t="n">
        <x:v>10</x:v>
      </x:c>
      <x:c r="I69" s="45" t="n">
        <x:f>MAX(F69,G69)</x:f>
        <x:v>192.0360180090045</x:v>
      </x:c>
      <x:c r="J69" s="58" t="n">
        <x:f>ROUND(ROUNDUP(I69/H69,0)*H69,2)</x:f>
        <x:v>200</x:v>
      </x:c>
      <x:c r="K69" s="33"/>
      <x:c r="L69" s="33"/>
      <x:c r="M69" s="33"/>
      <x:c r="N69" s="33"/>
      <x:c r="O69" s="33"/>
    </x:row>
    <x:row r="70" ht="26" customHeight="1">
      <x:c r="A70" s="39" t="str">
        <x:v>Z050</x:v>
      </x:c>
      <x:c r="B70" s="39" t="str">
        <x:v>PLN</x:v>
      </x:c>
      <x:c r="C70" s="48" t="n">
        <x:v>0.5</x:v>
      </x:c>
      <x:c r="D70" s="51" t="n">
        <x:v>3.900950475237619</x:v>
      </x:c>
      <x:c r="E70" s="48" t="n">
        <x:v>0.99</x:v>
      </x:c>
      <x:c r="F70" s="45" t="n">
        <x:f>C70*D70*E70</x:f>
        <x:v>1.9309704852426213</x:v>
      </x:c>
      <x:c r="G70" s="45" t="n">
        <x:v>2.3405702851425714</x:v>
      </x:c>
      <x:c r="H70" s="54" t="n">
        <x:v>0.1</x:v>
      </x:c>
      <x:c r="I70" s="45" t="n">
        <x:f>MAX(F70,G70)</x:f>
        <x:v>2.3405702851425714</x:v>
      </x:c>
      <x:c r="J70" s="58" t="n">
        <x:f>ROUND(ROUNDUP(I70/H70,0)*H70,2)</x:f>
        <x:v>2.4</x:v>
      </x:c>
      <x:c r="K70" s="33"/>
      <x:c r="L70" s="33"/>
      <x:c r="M70" s="33"/>
      <x:c r="N70" s="33"/>
      <x:c r="O70" s="33"/>
    </x:row>
    <x:row r="71" ht="26" customHeight="1">
      <x:c r="A71" s="39" t="str">
        <x:v>Z050</x:v>
      </x:c>
      <x:c r="B71" s="39" t="str">
        <x:v>SCR</x:v>
      </x:c>
      <x:c r="C71" s="48" t="n">
        <x:v>0.5</x:v>
      </x:c>
      <x:c r="D71" s="51" t="n">
        <x:v>14.606303151575787</x:v>
      </x:c>
      <x:c r="E71" s="48" t="n">
        <x:v>0.99</x:v>
      </x:c>
      <x:c r="F71" s="45" t="n">
        <x:f>C71*D71*E71</x:f>
        <x:v>7.230120060030014</x:v>
      </x:c>
      <x:c r="G71" s="45" t="n">
        <x:v>8.763781890945472</x:v>
      </x:c>
      <x:c r="H71" s="54" t="n">
        <x:v>0.1</x:v>
      </x:c>
      <x:c r="I71" s="45" t="n">
        <x:f>MAX(F71,G71)</x:f>
        <x:v>8.763781890945472</x:v>
      </x:c>
      <x:c r="J71" s="58" t="n">
        <x:f>ROUND(ROUNDUP(I71/H71,0)*H71,2)</x:f>
        <x:v>8.8</x:v>
      </x:c>
      <x:c r="K71" s="33"/>
      <x:c r="L71" s="33"/>
      <x:c r="M71" s="33"/>
      <x:c r="N71" s="33"/>
      <x:c r="O71" s="33"/>
    </x:row>
    <x:row r="72" ht="26" customHeight="1">
      <x:c r="A72" s="39" t="str">
        <x:v>Z050</x:v>
      </x:c>
      <x:c r="B72" s="39" t="str">
        <x:v>TTD</x:v>
      </x:c>
      <x:c r="C72" s="48" t="n">
        <x:v>0.5</x:v>
      </x:c>
      <x:c r="D72" s="51" t="n">
        <x:v>6.8024012006003005</x:v>
      </x:c>
      <x:c r="E72" s="48" t="n">
        <x:v>0.99</x:v>
      </x:c>
      <x:c r="F72" s="45" t="n">
        <x:f>C72*D72*E72</x:f>
        <x:v>3.367188594297149</x:v>
      </x:c>
      <x:c r="G72" s="45" t="n">
        <x:v>4.08144072036018</x:v>
      </x:c>
      <x:c r="H72" s="54" t="n">
        <x:v>0.1</x:v>
      </x:c>
      <x:c r="I72" s="45" t="n">
        <x:f>MAX(F72,G72)</x:f>
        <x:v>4.08144072036018</x:v>
      </x:c>
      <x:c r="J72" s="58" t="n">
        <x:f>ROUND(ROUNDUP(I72/H72,0)*H72,2)</x:f>
        <x:v>4.1</x:v>
      </x:c>
      <x:c r="K72" s="33"/>
      <x:c r="L72" s="33"/>
      <x:c r="M72" s="33"/>
      <x:c r="N72" s="33"/>
      <x:c r="O72" s="33"/>
    </x:row>
    <x:row r="73" ht="26" customHeight="1">
      <x:c r="A73" s="39" t="str">
        <x:v>Z055</x:v>
      </x:c>
      <x:c r="B73" s="39" t="str">
        <x:v>GYD</x:v>
      </x:c>
      <x:c r="C73" s="48" t="n">
        <x:v>0.55</x:v>
      </x:c>
      <x:c r="D73" s="51" t="n">
        <x:v>209.10455227613807</x:v>
      </x:c>
      <x:c r="E73" s="48" t="n">
        <x:v>0.99</x:v>
      </x:c>
      <x:c r="F73" s="45" t="n">
        <x:f>C73*D73*E73</x:f>
        <x:v>113.85742871435718</x:v>
      </x:c>
      <x:c r="G73" s="45" t="n">
        <x:v>125.46273136568284</x:v>
      </x:c>
      <x:c r="H73" s="54" t="n">
        <x:v>10</x:v>
      </x:c>
      <x:c r="I73" s="45" t="n">
        <x:f>MAX(F73,G73)</x:f>
        <x:v>125.46273136568284</x:v>
      </x:c>
      <x:c r="J73" s="58" t="n">
        <x:f>ROUND(ROUNDUP(I73/H73,0)*H73,2)</x:f>
        <x:v>130</x:v>
      </x:c>
      <x:c r="K73" s="33"/>
      <x:c r="L73" s="33"/>
      <x:c r="M73" s="33"/>
      <x:c r="N73" s="33"/>
      <x:c r="O73" s="33"/>
    </x:row>
    <x:row r="74" ht="26" customHeight="1">
      <x:c r="A74" s="39" t="str">
        <x:v>Z055</x:v>
      </x:c>
      <x:c r="B74" s="39" t="str">
        <x:v>EUR</x:v>
      </x:c>
      <x:c r="C74" s="48" t="n">
        <x:v>0.55</x:v>
      </x:c>
      <x:c r="D74" s="51" t="n">
        <x:v>0.8748124062031015</x:v>
      </x:c>
      <x:c r="E74" s="48" t="n">
        <x:v>0.99</x:v>
      </x:c>
      <x:c r="F74" s="45" t="n">
        <x:f>C74*D74*E74</x:f>
        <x:v>0.47633535517758885</x:v>
      </x:c>
      <x:c r="G74" s="45" t="n">
        <x:v>0.5248874437218609</x:v>
      </x:c>
      <x:c r="H74" s="54" t="n">
        <x:v>0.01</x:v>
      </x:c>
      <x:c r="I74" s="45" t="n">
        <x:f>MAX(F74,G74)</x:f>
        <x:v>0.5248874437218609</x:v>
      </x:c>
      <x:c r="J74" s="58" t="n">
        <x:f>ROUND(ROUNDUP(I74/H74,0)*H74,2)</x:f>
        <x:v>0.53</x:v>
      </x:c>
      <x:c r="K74" s="33"/>
      <x:c r="L74" s="33"/>
      <x:c r="M74" s="33"/>
      <x:c r="N74" s="33"/>
      <x:c r="O74" s="33"/>
    </x:row>
    <x:row r="75" ht="26" customHeight="1">
      <x:c r="A75" s="39" t="str">
        <x:v>Z055</x:v>
      </x:c>
      <x:c r="B75" s="39" t="str">
        <x:v>BBD</x:v>
      </x:c>
      <x:c r="C75" s="48" t="n">
        <x:v>0.55</x:v>
      </x:c>
      <x:c r="D75" s="51" t="n">
        <x:v>2.000090954568193</x:v>
      </x:c>
      <x:c r="E75" s="48" t="n">
        <x:v>0.99</x:v>
      </x:c>
      <x:c r="F75" s="45" t="n">
        <x:f>C75*D75*E75</x:f>
        <x:v>1.0890495247623813</x:v>
      </x:c>
      <x:c r="G75" s="45" t="n">
        <x:v>1.200054572740916</x:v>
      </x:c>
      <x:c r="H75" s="54" t="n">
        <x:v>0.1</x:v>
      </x:c>
      <x:c r="I75" s="45" t="n">
        <x:f>MAX(F75,G75)</x:f>
        <x:v>1.200054572740916</x:v>
      </x:c>
      <x:c r="J75" s="58" t="n">
        <x:f>ROUND(ROUNDUP(I75/H75,0)*H75,2)</x:f>
        <x:v>1.3</x:v>
      </x:c>
      <x:c r="K75" s="33"/>
      <x:c r="L75" s="33"/>
      <x:c r="M75" s="33"/>
      <x:c r="N75" s="33"/>
      <x:c r="O75" s="33"/>
    </x:row>
    <x:row r="76" ht="26" customHeight="1">
      <x:c r="A76" s="39" t="str">
        <x:v>Z055</x:v>
      </x:c>
      <x:c r="B76" s="39" t="str">
        <x:v>BND</x:v>
      </x:c>
      <x:c r="C76" s="48" t="n">
        <x:v>0.55</x:v>
      </x:c>
      <x:c r="D76" s="51" t="n">
        <x:v>1.2724544090226932</x:v>
      </x:c>
      <x:c r="E76" s="48" t="n">
        <x:v>0.99</x:v>
      </x:c>
      <x:c r="F76" s="45" t="n">
        <x:f>C76*D76*E76</x:f>
        <x:v>0.6928514257128565</x:v>
      </x:c>
      <x:c r="G76" s="45" t="n">
        <x:v>0.7634726454136159</x:v>
      </x:c>
      <x:c r="H76" s="54" t="n">
        <x:v>0.01</x:v>
      </x:c>
      <x:c r="I76" s="45" t="n">
        <x:f>MAX(F76,G76)</x:f>
        <x:v>0.7634726454136159</x:v>
      </x:c>
      <x:c r="J76" s="58" t="n">
        <x:f>ROUND(ROUNDUP(I76/H76,0)*H76,2)</x:f>
        <x:v>0.77</x:v>
      </x:c>
      <x:c r="K76" s="33"/>
      <x:c r="L76" s="33"/>
      <x:c r="M76" s="33"/>
      <x:c r="N76" s="33"/>
      <x:c r="O76" s="33"/>
    </x:row>
    <x:row r="77" ht="26" customHeight="1">
      <x:c r="A77" s="39" t="str">
        <x:v>Z055</x:v>
      </x:c>
      <x:c r="B77" s="39" t="str">
        <x:v>USD</x:v>
      </x:c>
      <x:c r="C77" s="48" t="n">
        <x:v>0.55</x:v>
      </x:c>
      <x:c r="D77" s="51" t="n">
        <x:v>1</x:v>
      </x:c>
      <x:c r="E77" s="48" t="n">
        <x:v>0.99</x:v>
      </x:c>
      <x:c r="F77" s="45" t="n">
        <x:f>C77*D77*E77</x:f>
        <x:v>0.5445</x:v>
      </x:c>
      <x:c r="G77" s="45" t="n">
        <x:v>0.6</x:v>
      </x:c>
      <x:c r="H77" s="54" t="n">
        <x:v>0.01</x:v>
      </x:c>
      <x:c r="I77" s="45" t="n">
        <x:f>MAX(F77,G77)</x:f>
        <x:v>0.6</x:v>
      </x:c>
      <x:c r="J77" s="58" t="n">
        <x:f>ROUND(ROUNDUP(I77/H77,0)*H77,2)</x:f>
        <x:v>0.6</x:v>
      </x:c>
      <x:c r="K77" s="33"/>
      <x:c r="L77" s="33"/>
      <x:c r="M77" s="33"/>
      <x:c r="N77" s="33"/>
      <x:c r="O77" s="33"/>
    </x:row>
    <x:row r="78" ht="26" customHeight="1">
      <x:c r="A78" s="39" t="str">
        <x:v>Z060</x:v>
      </x:c>
      <x:c r="B78" s="39" t="str">
        <x:v>EUR</x:v>
      </x:c>
      <x:c r="C78" s="48" t="n">
        <x:v>0.6</x:v>
      </x:c>
      <x:c r="D78" s="51" t="n">
        <x:v>0.8748124062031015</x:v>
      </x:c>
      <x:c r="E78" s="48" t="n">
        <x:v>0.99</x:v>
      </x:c>
      <x:c r="F78" s="45" t="n">
        <x:f>C78*D78*E78</x:f>
        <x:v>0.5196385692846422</x:v>
      </x:c>
      <x:c r="G78" s="45" t="n">
        <x:v>0.5248874437218609</x:v>
      </x:c>
      <x:c r="H78" s="54" t="n">
        <x:v>0.01</x:v>
      </x:c>
      <x:c r="I78" s="45" t="n">
        <x:f>MAX(F78,G78)</x:f>
        <x:v>0.5248874437218609</x:v>
      </x:c>
      <x:c r="J78" s="58" t="n">
        <x:f>ROUND(ROUNDUP(I78/H78,0)*H78,2)</x:f>
        <x:v>0.53</x:v>
      </x:c>
      <x:c r="K78" s="33"/>
      <x:c r="L78" s="33"/>
      <x:c r="M78" s="33"/>
      <x:c r="N78" s="33"/>
      <x:c r="O78" s="33"/>
    </x:row>
    <x:row r="79" ht="26" customHeight="1">
      <x:c r="A79" s="39" t="str">
        <x:v>Z060</x:v>
      </x:c>
      <x:c r="B79" s="39" t="str">
        <x:v>SAR</x:v>
      </x:c>
      <x:c r="C79" s="48" t="n">
        <x:v>0.6</x:v>
      </x:c>
      <x:c r="D79" s="51" t="n">
        <x:v>3.751042187760547</x:v>
      </x:c>
      <x:c r="E79" s="48" t="n">
        <x:v>0.99</x:v>
      </x:c>
      <x:c r="F79" s="45" t="n">
        <x:f>C79*D79*E79</x:f>
        <x:v>2.228119059529765</x:v>
      </x:c>
      <x:c r="G79" s="45" t="n">
        <x:v>2.2506253126563283</x:v>
      </x:c>
      <x:c r="H79" s="54" t="n">
        <x:v>0.1</x:v>
      </x:c>
      <x:c r="I79" s="45" t="n">
        <x:f>MAX(F79,G79)</x:f>
        <x:v>2.2506253126563283</x:v>
      </x:c>
      <x:c r="J79" s="58" t="n">
        <x:f>ROUND(ROUNDUP(I79/H79,0)*H79,2)</x:f>
        <x:v>2.3</x:v>
      </x:c>
      <x:c r="K79" s="33"/>
      <x:c r="L79" s="33"/>
      <x:c r="M79" s="33"/>
      <x:c r="N79" s="33"/>
      <x:c r="O79" s="33"/>
    </x:row>
    <x:row r="80" ht="26" customHeight="1">
      <x:c r="A80" s="39" t="str">
        <x:v>Z060</x:v>
      </x:c>
      <x:c r="B80" s="39" t="str">
        <x:v>UYU</x:v>
      </x:c>
      <x:c r="C80" s="48" t="n">
        <x:v>0.6</x:v>
      </x:c>
      <x:c r="D80" s="51" t="n">
        <x:v>39.936634984158744</x:v>
      </x:c>
      <x:c r="E80" s="48" t="n">
        <x:v>0.99</x:v>
      </x:c>
      <x:c r="F80" s="45" t="n">
        <x:f>C80*D80*E80</x:f>
        <x:v>23.722361180590294</x:v>
      </x:c>
      <x:c r="G80" s="45" t="n">
        <x:v>23.96198099049525</x:v>
      </x:c>
      <x:c r="H80" s="54" t="n">
        <x:v>1</x:v>
      </x:c>
      <x:c r="I80" s="45" t="n">
        <x:f>MAX(F80,G80)</x:f>
        <x:v>23.96198099049525</x:v>
      </x:c>
      <x:c r="J80" s="58" t="n">
        <x:f>ROUND(ROUNDUP(I80/H80,0)*H80,2)</x:f>
        <x:v>24</x:v>
      </x:c>
      <x:c r="K80" s="33"/>
      <x:c r="L80" s="33"/>
      <x:c r="M80" s="33"/>
      <x:c r="N80" s="33"/>
      <x:c r="O80" s="33"/>
    </x:row>
    <x:row r="81" ht="26" customHeight="1">
      <x:c r="A81" s="39" t="str">
        <x:v>Z065</x:v>
      </x:c>
      <x:c r="B81" s="39" t="str">
        <x:v>TWD</x:v>
      </x:c>
      <x:c r="C81" s="48" t="n">
        <x:v>0.65</x:v>
      </x:c>
      <x:c r="D81" s="51" t="n">
        <x:v>32.24689267710779</x:v>
      </x:c>
      <x:c r="E81" s="48" t="n">
        <x:v>0.99</x:v>
      </x:c>
      <x:c r="F81" s="45" t="n">
        <x:f>C81*D81*E81</x:f>
        <x:v>20.75087543771886</x:v>
      </x:c>
      <x:c r="G81" s="45" t="n">
        <x:v>19.34813560626467</x:v>
      </x:c>
      <x:c r="H81" s="54" t="n">
        <x:v>1</x:v>
      </x:c>
      <x:c r="I81" s="45" t="n">
        <x:f>MAX(F81,G81)</x:f>
        <x:v>20.75087543771886</x:v>
      </x:c>
      <x:c r="J81" s="58" t="n">
        <x:f>ROUND(ROUNDUP(I81/H81,0)*H81,2)</x:f>
        <x:v>21</x:v>
      </x:c>
      <x:c r="K81" s="33"/>
      <x:c r="L81" s="33"/>
      <x:c r="M81" s="33"/>
      <x:c r="N81" s="33"/>
      <x:c r="O81" s="33"/>
    </x:row>
    <x:row r="82" ht="26" customHeight="1">
      <x:c r="A82" s="39" t="str">
        <x:v>Z065</x:v>
      </x:c>
      <x:c r="B82" s="39" t="str">
        <x:v>KRW</x:v>
      </x:c>
      <x:c r="C82" s="48" t="n">
        <x:v>0.65</x:v>
      </x:c>
      <x:c r="D82" s="51" t="n">
        <x:v>1300.6503251625813</x:v>
      </x:c>
      <x:c r="E82" s="48" t="n">
        <x:v>0.99</x:v>
      </x:c>
      <x:c r="F82" s="45" t="n">
        <x:f>C82*D82*E82</x:f>
        <x:v>836.968484242121</x:v>
      </x:c>
      <x:c r="G82" s="45" t="n">
        <x:v>780.3901950975488</x:v>
      </x:c>
      <x:c r="H82" s="54" t="n">
        <x:v>10</x:v>
      </x:c>
      <x:c r="I82" s="45" t="n">
        <x:f>MAX(F82,G82)</x:f>
        <x:v>836.968484242121</x:v>
      </x:c>
      <x:c r="J82" s="58" t="n">
        <x:f>ROUND(ROUNDUP(I82/H82,0)*H82,2)</x:f>
        <x:v>840</x:v>
      </x:c>
      <x:c r="K82" s="33"/>
      <x:c r="L82" s="33"/>
      <x:c r="M82" s="33"/>
      <x:c r="N82" s="33"/>
      <x:c r="O82" s="33"/>
    </x:row>
    <x:row r="83" ht="26" customHeight="1">
      <x:c r="A83" s="39" t="str">
        <x:v>Z065</x:v>
      </x:c>
      <x:c r="B83" s="39" t="str">
        <x:v>JPY</x:v>
      </x:c>
      <x:c r="C83" s="48" t="n">
        <x:v>0.65</x:v>
      </x:c>
      <x:c r="D83" s="51" t="n">
        <x:v>152.3838842498172</x:v>
      </x:c>
      <x:c r="E83" s="48" t="n">
        <x:v>0.99</x:v>
      </x:c>
      <x:c r="F83" s="45" t="n">
        <x:f>C83*D83*E83</x:f>
        <x:v>98.05902951475738</x:v>
      </x:c>
      <x:c r="G83" s="45" t="n">
        <x:v>91.43033054989033</x:v>
      </x:c>
      <x:c r="H83" s="54" t="n">
        <x:v>1</x:v>
      </x:c>
      <x:c r="I83" s="45" t="n">
        <x:f>MAX(F83,G83)</x:f>
        <x:v>98.05902951475738</x:v>
      </x:c>
      <x:c r="J83" s="58" t="n">
        <x:f>ROUND(ROUNDUP(I83/H83,0)*H83,2)</x:f>
        <x:v>99</x:v>
      </x:c>
      <x:c r="K83" s="33"/>
      <x:c r="L83" s="33"/>
      <x:c r="M83" s="33"/>
      <x:c r="N83" s="33"/>
      <x:c r="O83" s="33"/>
    </x:row>
    <x:row r="84" ht="26" customHeight="1">
      <x:c r="A84" s="39" t="str">
        <x:v>Z065</x:v>
      </x:c>
      <x:c r="B84" s="39" t="str">
        <x:v>EUR</x:v>
      </x:c>
      <x:c r="C84" s="48" t="n">
        <x:v>0.65</x:v>
      </x:c>
      <x:c r="D84" s="51" t="n">
        <x:v>0.8748124062031015</x:v>
      </x:c>
      <x:c r="E84" s="48" t="n">
        <x:v>0.99</x:v>
      </x:c>
      <x:c r="F84" s="45" t="n">
        <x:f>C84*D84*E84</x:f>
        <x:v>0.5629417833916959</x:v>
      </x:c>
      <x:c r="G84" s="45" t="n">
        <x:v>0.5248874437218609</x:v>
      </x:c>
      <x:c r="H84" s="54" t="n">
        <x:v>0.01</x:v>
      </x:c>
      <x:c r="I84" s="45" t="n">
        <x:f>MAX(F84,G84)</x:f>
        <x:v>0.5629417833916959</x:v>
      </x:c>
      <x:c r="J84" s="58" t="n">
        <x:f>ROUND(ROUNDUP(I84/H84,0)*H84,2)</x:f>
        <x:v>0.57</x:v>
      </x:c>
      <x:c r="K84" s="33"/>
      <x:c r="L84" s="33"/>
      <x:c r="M84" s="33"/>
      <x:c r="N84" s="33"/>
      <x:c r="O84" s="33"/>
    </x:row>
    <x:row r="85" ht="26" customHeight="1">
      <x:c r="A85" s="39" t="str">
        <x:v>Z065</x:v>
      </x:c>
      <x:c r="B85" s="39" t="str">
        <x:v>USD</x:v>
      </x:c>
      <x:c r="C85" s="48" t="n">
        <x:v>0.65</x:v>
      </x:c>
      <x:c r="D85" s="51" t="n">
        <x:v>1</x:v>
      </x:c>
      <x:c r="E85" s="48" t="n">
        <x:v>0.99</x:v>
      </x:c>
      <x:c r="F85" s="45" t="n">
        <x:f>C85*D85*E85</x:f>
        <x:v>0.6435</x:v>
      </x:c>
      <x:c r="G85" s="45" t="n">
        <x:v>0.6</x:v>
      </x:c>
      <x:c r="H85" s="54" t="n">
        <x:v>0.01</x:v>
      </x:c>
      <x:c r="I85" s="45" t="n">
        <x:f>MAX(F85,G85)</x:f>
        <x:v>0.6435</x:v>
      </x:c>
      <x:c r="J85" s="58" t="n">
        <x:f>ROUND(ROUNDUP(I85/H85,0)*H85,2)</x:f>
        <x:v>0.65</x:v>
      </x:c>
      <x:c r="K85" s="33"/>
      <x:c r="L85" s="33"/>
      <x:c r="M85" s="33"/>
      <x:c r="N85" s="33"/>
      <x:c r="O85" s="33"/>
    </x:row>
    <x:row r="86" ht="26" customHeight="1">
      <x:c r="A86" s="39" t="str">
        <x:v>Z070</x:v>
      </x:c>
      <x:c r="B86" s="39" t="str">
        <x:v>EUR</x:v>
      </x:c>
      <x:c r="C86" s="48" t="n">
        <x:v>0.7</x:v>
      </x:c>
      <x:c r="D86" s="51" t="n">
        <x:v>0.8748124062031015</x:v>
      </x:c>
      <x:c r="E86" s="48" t="n">
        <x:v>0.99</x:v>
      </x:c>
      <x:c r="F86" s="45" t="n">
        <x:f>C86*D86*E86</x:f>
        <x:v>0.6062449974987494</x:v>
      </x:c>
      <x:c r="G86" s="45" t="n">
        <x:v>0.5248874437218609</x:v>
      </x:c>
      <x:c r="H86" s="54" t="n">
        <x:v>0.01</x:v>
      </x:c>
      <x:c r="I86" s="45" t="n">
        <x:f>MAX(F86,G86)</x:f>
        <x:v>0.6062449974987494</x:v>
      </x:c>
      <x:c r="J86" s="58" t="n">
        <x:f>ROUND(ROUNDUP(I86/H86,0)*H86,2)</x:f>
        <x:v>0.61</x:v>
      </x:c>
      <x:c r="K86" s="33"/>
      <x:c r="L86" s="33"/>
      <x:c r="M86" s="33"/>
      <x:c r="N86" s="33"/>
      <x:c r="O86" s="33"/>
    </x:row>
    <x:row r="87" ht="26" customHeight="1">
      <x:c r="A87" s="39" t="str">
        <x:v>Z075</x:v>
      </x:c>
      <x:c r="B87" s="39" t="str">
        <x:v>AED</x:v>
      </x:c>
      <x:c r="C87" s="48" t="n">
        <x:v>0.75</x:v>
      </x:c>
      <x:c r="D87" s="51" t="n">
        <x:v>3.6678339169584793</x:v>
      </x:c>
      <x:c r="E87" s="48" t="n">
        <x:v>0.99</x:v>
      </x:c>
      <x:c r="F87" s="45" t="n">
        <x:f>C87*D87*E87</x:f>
        <x:v>2.7233666833416708</x:v>
      </x:c>
      <x:c r="G87" s="45" t="n">
        <x:v>2.2007003501750875</x:v>
      </x:c>
      <x:c r="H87" s="54" t="n">
        <x:v>0.1</x:v>
      </x:c>
      <x:c r="I87" s="45" t="n">
        <x:f>MAX(F87,G87)</x:f>
        <x:v>2.7233666833416708</x:v>
      </x:c>
      <x:c r="J87" s="58" t="n">
        <x:f>ROUND(ROUNDUP(I87/H87,0)*H87,2)</x:f>
        <x:v>2.8</x:v>
      </x:c>
      <x:c r="K87" s="33"/>
      <x:c r="L87" s="33"/>
      <x:c r="M87" s="33"/>
      <x:c r="N87" s="33"/>
      <x:c r="O87" s="33"/>
    </x:row>
    <x:row r="88" ht="26" customHeight="1">
      <x:c r="A88" s="39" t="str">
        <x:v>Z075</x:v>
      </x:c>
      <x:c r="B88" s="39" t="str">
        <x:v>EUR</x:v>
      </x:c>
      <x:c r="C88" s="48" t="n">
        <x:v>0.75</x:v>
      </x:c>
      <x:c r="D88" s="51" t="n">
        <x:v>0.8748124062031015</x:v>
      </x:c>
      <x:c r="E88" s="48" t="n">
        <x:v>0.99</x:v>
      </x:c>
      <x:c r="F88" s="45" t="n">
        <x:f>C88*D88*E88</x:f>
        <x:v>0.6495482116058028</x:v>
      </x:c>
      <x:c r="G88" s="45" t="n">
        <x:v>0.5248874437218609</x:v>
      </x:c>
      <x:c r="H88" s="54" t="n">
        <x:v>0.01</x:v>
      </x:c>
      <x:c r="I88" s="45" t="n">
        <x:f>MAX(F88,G88)</x:f>
        <x:v>0.6495482116058028</x:v>
      </x:c>
      <x:c r="J88" s="58" t="n">
        <x:f>ROUND(ROUNDUP(I88/H88,0)*H88,2)</x:f>
        <x:v>0.65</x:v>
      </x:c>
      <x:c r="K88" s="33"/>
      <x:c r="L88" s="33"/>
      <x:c r="M88" s="33"/>
      <x:c r="N88" s="33"/>
      <x:c r="O88" s="33"/>
    </x:row>
    <x:row r="89" ht="26" customHeight="1">
      <x:c r="A89" s="39" t="str">
        <x:v>Z080</x:v>
      </x:c>
      <x:c r="B89" s="39" t="str">
        <x:v>HKD</x:v>
      </x:c>
      <x:c r="C89" s="48" t="n">
        <x:v>0.8</x:v>
      </x:c>
      <x:c r="D89" s="51" t="n">
        <x:v>8.066533266633316</x:v>
      </x:c>
      <x:c r="E89" s="48" t="n">
        <x:v>0.99</x:v>
      </x:c>
      <x:c r="F89" s="45" t="n">
        <x:f>C89*D89*E89</x:f>
        <x:v>6.388694347173587</x:v>
      </x:c>
      <x:c r="G89" s="45" t="n">
        <x:v>4.83991995997999</x:v>
      </x:c>
      <x:c r="H89" s="54" t="n">
        <x:v>0.1</x:v>
      </x:c>
      <x:c r="I89" s="45" t="n">
        <x:f>MAX(F89,G89)</x:f>
        <x:v>6.388694347173587</x:v>
      </x:c>
      <x:c r="J89" s="58" t="n">
        <x:f>ROUND(ROUNDUP(I89/H89,0)*H89,2)</x:f>
        <x:v>6.4</x:v>
      </x:c>
      <x:c r="K89" s="33"/>
      <x:c r="L89" s="33"/>
      <x:c r="M89" s="33"/>
      <x:c r="N89" s="33"/>
      <x:c r="O89" s="33"/>
    </x:row>
    <x:row r="90" ht="26" customHeight="1">
      <x:c r="A90" s="39" t="str">
        <x:v>Z080</x:v>
      </x:c>
      <x:c r="B90" s="39" t="str">
        <x:v>EUR</x:v>
      </x:c>
      <x:c r="C90" s="48" t="n">
        <x:v>0.8</x:v>
      </x:c>
      <x:c r="D90" s="51" t="n">
        <x:v>0.8748124062031015</x:v>
      </x:c>
      <x:c r="E90" s="48" t="n">
        <x:v>0.99</x:v>
      </x:c>
      <x:c r="F90" s="45" t="n">
        <x:f>C90*D90*E90</x:f>
        <x:v>0.6928514257128564</x:v>
      </x:c>
      <x:c r="G90" s="45" t="n">
        <x:v>0.5248874437218609</x:v>
      </x:c>
      <x:c r="H90" s="54" t="n">
        <x:v>0.01</x:v>
      </x:c>
      <x:c r="I90" s="45" t="n">
        <x:f>MAX(F90,G90)</x:f>
        <x:v>0.6928514257128564</x:v>
      </x:c>
      <x:c r="J90" s="58" t="n">
        <x:f>ROUND(ROUNDUP(I90/H90,0)*H90,2)</x:f>
        <x:v>0.7</x:v>
      </x:c>
      <x:c r="K90" s="33"/>
      <x:c r="L90" s="33"/>
      <x:c r="M90" s="33"/>
      <x:c r="N90" s="33"/>
      <x:c r="O90" s="33"/>
    </x:row>
    <x:row r="91" ht="26" customHeight="1">
      <x:c r="A91" s="39" t="str">
        <x:v>Z080</x:v>
      </x:c>
      <x:c r="B91" s="39" t="str">
        <x:v>MOP</x:v>
      </x:c>
      <x:c r="C91" s="48" t="n">
        <x:v>0.8</x:v>
      </x:c>
      <x:c r="D91" s="51" t="n">
        <x:v>8.066533266633316</x:v>
      </x:c>
      <x:c r="E91" s="48" t="n">
        <x:v>0.99</x:v>
      </x:c>
      <x:c r="F91" s="45" t="n">
        <x:f>C91*D91*E91</x:f>
        <x:v>6.388694347173587</x:v>
      </x:c>
      <x:c r="G91" s="45" t="n">
        <x:v>4.83991995997999</x:v>
      </x:c>
      <x:c r="H91" s="54" t="n">
        <x:v>0.1</x:v>
      </x:c>
      <x:c r="I91" s="45" t="n">
        <x:f>MAX(F91,G91)</x:f>
        <x:v>6.388694347173587</x:v>
      </x:c>
      <x:c r="J91" s="58" t="n">
        <x:f>ROUND(ROUNDUP(I91/H91,0)*H91,2)</x:f>
        <x:v>6.4</x:v>
      </x:c>
      <x:c r="K91" s="33"/>
      <x:c r="L91" s="33"/>
      <x:c r="M91" s="33"/>
      <x:c r="N91" s="33"/>
      <x:c r="O91" s="33"/>
    </x:row>
    <x:row r="92" ht="26" customHeight="1">
      <x:c r="A92" s="39" t="str">
        <x:v>Z085</x:v>
      </x:c>
      <x:c r="B92" s="39" t="str">
        <x:v>GBP</x:v>
      </x:c>
      <x:c r="C92" s="48" t="n">
        <x:v>0.85</x:v>
      </x:c>
      <x:c r="D92" s="51" t="n">
        <x:v>0.7644998970073272</x:v>
      </x:c>
      <x:c r="E92" s="48" t="n">
        <x:v>0.99</x:v>
      </x:c>
      <x:c r="F92" s="45" t="n">
        <x:f>C92*D92*E92</x:f>
        <x:v>0.6433266633316658</x:v>
      </x:c>
      <x:c r="G92" s="45" t="n">
        <x:v>0.4586999382043963</x:v>
      </x:c>
      <x:c r="H92" s="54" t="n">
        <x:v>0.01</x:v>
      </x:c>
      <x:c r="I92" s="45" t="n">
        <x:f>MAX(F92,G92)</x:f>
        <x:v>0.6433266633316658</x:v>
      </x:c>
      <x:c r="J92" s="58" t="n">
        <x:f>ROUND(ROUNDUP(I92/H92,0)*H92,2)</x:f>
        <x:v>0.65</x:v>
      </x:c>
      <x:c r="K92" s="33"/>
      <x:c r="L92" s="33"/>
      <x:c r="M92" s="33"/>
      <x:c r="N92" s="33"/>
      <x:c r="O92" s="33"/>
    </x:row>
    <x:row r="93" ht="26" customHeight="1">
      <x:c r="A93" s="39" t="str">
        <x:v>Z085</x:v>
      </x:c>
      <x:c r="B93" s="39" t="str">
        <x:v>NZD</x:v>
      </x:c>
      <x:c r="C93" s="48" t="n">
        <x:v>0.85</x:v>
      </x:c>
      <x:c r="D93" s="51" t="n">
        <x:v>1.7650001471323897</x:v>
      </x:c>
      <x:c r="E93" s="48" t="n">
        <x:v>0.99</x:v>
      </x:c>
      <x:c r="F93" s="45" t="n">
        <x:f>C93*D93*E93</x:f>
        <x:v>1.485247623811906</x:v>
      </x:c>
      <x:c r="G93" s="45" t="n">
        <x:v>1.059000088279434</x:v>
      </x:c>
      <x:c r="H93" s="54" t="n">
        <x:v>0.1</x:v>
      </x:c>
      <x:c r="I93" s="45" t="n">
        <x:f>MAX(F93,G93)</x:f>
        <x:v>1.485247623811906</x:v>
      </x:c>
      <x:c r="J93" s="58" t="n">
        <x:f>ROUND(ROUNDUP(I93/H93,0)*H93,2)</x:f>
        <x:v>1.5</x:v>
      </x:c>
      <x:c r="K93" s="33"/>
      <x:c r="L93" s="33"/>
      <x:c r="M93" s="33"/>
      <x:c r="N93" s="33"/>
      <x:c r="O93" s="33"/>
    </x:row>
    <x:row r="94" ht="26" customHeight="1">
      <x:c r="A94" s="39" t="str">
        <x:v>Z085</x:v>
      </x:c>
      <x:c r="B94" s="39" t="str">
        <x:v>EUR</x:v>
      </x:c>
      <x:c r="C94" s="48" t="n">
        <x:v>0.85</x:v>
      </x:c>
      <x:c r="D94" s="51" t="n">
        <x:v>0.8748124062031015</x:v>
      </x:c>
      <x:c r="E94" s="48" t="n">
        <x:v>0.99</x:v>
      </x:c>
      <x:c r="F94" s="45" t="n">
        <x:f>C94*D94*E94</x:f>
        <x:v>0.7361546398199099</x:v>
      </x:c>
      <x:c r="G94" s="45" t="n">
        <x:v>0.5248874437218609</x:v>
      </x:c>
      <x:c r="H94" s="54" t="n">
        <x:v>0.01</x:v>
      </x:c>
      <x:c r="I94" s="45" t="n">
        <x:f>MAX(F94,G94)</x:f>
        <x:v>0.7361546398199099</x:v>
      </x:c>
      <x:c r="J94" s="58" t="n">
        <x:f>ROUND(ROUNDUP(I94/H94,0)*H94,2)</x:f>
        <x:v>0.74</x:v>
      </x:c>
      <x:c r="K94" s="33"/>
      <x:c r="L94" s="33"/>
      <x:c r="M94" s="33"/>
      <x:c r="N94" s="33"/>
      <x:c r="O94" s="33"/>
    </x:row>
    <x:row r="95" ht="26" customHeight="1">
      <x:c r="A95" s="39" t="str">
        <x:v>Z085</x:v>
      </x:c>
      <x:c r="B95" s="39" t="str">
        <x:v>BSD</x:v>
      </x:c>
      <x:c r="C95" s="48" t="n">
        <x:v>0.85</x:v>
      </x:c>
      <x:c r="D95" s="51" t="n">
        <x:v>0.9999117205661654</x:v>
      </x:c>
      <x:c r="E95" s="48" t="n">
        <x:v>0.99</x:v>
      </x:c>
      <x:c r="F95" s="45" t="n">
        <x:f>C95*D95*E95</x:f>
        <x:v>0.8414257128564282</x:v>
      </x:c>
      <x:c r="G95" s="45" t="n">
        <x:v>0.5999470323396993</x:v>
      </x:c>
      <x:c r="H95" s="54" t="n">
        <x:v>0.01</x:v>
      </x:c>
      <x:c r="I95" s="45" t="n">
        <x:f>MAX(F95,G95)</x:f>
        <x:v>0.8414257128564282</x:v>
      </x:c>
      <x:c r="J95" s="58" t="n">
        <x:f>ROUND(ROUNDUP(I95/H95,0)*H95,2)</x:f>
        <x:v>0.85</x:v>
      </x:c>
      <x:c r="K95" s="33"/>
      <x:c r="L95" s="33"/>
      <x:c r="M95" s="33"/>
      <x:c r="N95" s="33"/>
      <x:c r="O95" s="33"/>
    </x:row>
    <x:row r="96" ht="26" customHeight="1">
      <x:c r="A96" s="39" t="str">
        <x:v>Z085</x:v>
      </x:c>
      <x:c r="B96" s="39" t="str">
        <x:v>SEK</x:v>
      </x:c>
      <x:c r="C96" s="48" t="n">
        <x:v>0.85</x:v>
      </x:c>
      <x:c r="D96" s="51" t="n">
        <x:v>9.886708059912308</x:v>
      </x:c>
      <x:c r="E96" s="48" t="n">
        <x:v>0.99</x:v>
      </x:c>
      <x:c r="F96" s="45" t="n">
        <x:f>C96*D96*E96</x:f>
        <x:v>8.319664832416207</x:v>
      </x:c>
      <x:c r="G96" s="45" t="n">
        <x:v>5.932024835947385</x:v>
      </x:c>
      <x:c r="H96" s="54" t="n">
        <x:v>0.1</x:v>
      </x:c>
      <x:c r="I96" s="45" t="n">
        <x:f>MAX(F96,G96)</x:f>
        <x:v>8.319664832416207</x:v>
      </x:c>
      <x:c r="J96" s="58" t="n">
        <x:f>ROUND(ROUNDUP(I96/H96,0)*H96,2)</x:f>
        <x:v>8.4</x:v>
      </x:c>
      <x:c r="K96" s="33"/>
      <x:c r="L96" s="33"/>
      <x:c r="M96" s="33"/>
      <x:c r="N96" s="33"/>
      <x:c r="O96" s="33"/>
    </x:row>
    <x:row r="97" ht="26" customHeight="1">
      <x:c r="A97" s="39" t="str">
        <x:v>Z090</x:v>
      </x:c>
      <x:c r="B97" s="39" t="str">
        <x:v>CAD</x:v>
      </x:c>
      <x:c r="C97" s="48" t="n">
        <x:v>0.9</x:v>
      </x:c>
      <x:c r="D97" s="51" t="n">
        <x:v>1.3890278472569617</x:v>
      </x:c>
      <x:c r="E97" s="48" t="n">
        <x:v>0.99</x:v>
      </x:c>
      <x:c r="F97" s="45" t="n">
        <x:f>C97*D97*E97</x:f>
        <x:v>1.237623811905953</x:v>
      </x:c>
      <x:c r="G97" s="45" t="n">
        <x:v>0.8334167083541771</x:v>
      </x:c>
      <x:c r="H97" s="54" t="n">
        <x:v>0.1</x:v>
      </x:c>
      <x:c r="I97" s="45" t="n">
        <x:f>MAX(F97,G97)</x:f>
        <x:v>1.237623811905953</x:v>
      </x:c>
      <x:c r="J97" s="58" t="n">
        <x:f>ROUND(ROUNDUP(I97/H97,0)*H97,2)</x:f>
        <x:v>1.3</x:v>
      </x:c>
      <x:c r="K97" s="33"/>
      <x:c r="L97" s="33"/>
      <x:c r="M97" s="33"/>
      <x:c r="N97" s="33"/>
      <x:c r="O97" s="33"/>
    </x:row>
    <x:row r="98" ht="26" customHeight="1">
      <x:c r="A98" s="39" t="str">
        <x:v>Z090</x:v>
      </x:c>
      <x:c r="B98" s="39" t="str">
        <x:v>SGD</x:v>
      </x:c>
      <x:c r="C98" s="48" t="n">
        <x:v>0.9</x:v>
      </x:c>
      <x:c r="D98" s="51" t="n">
        <x:v>1.2778611527986214</x:v>
      </x:c>
      <x:c r="E98" s="48" t="n">
        <x:v>0.99</x:v>
      </x:c>
      <x:c r="F98" s="45" t="n">
        <x:f>C98*D98*E98</x:f>
        <x:v>1.1385742871435718</x:v>
      </x:c>
      <x:c r="G98" s="45" t="n">
        <x:v>0.7667166916791729</x:v>
      </x:c>
      <x:c r="H98" s="54" t="n">
        <x:v>0.1</x:v>
      </x:c>
      <x:c r="I98" s="45" t="n">
        <x:f>MAX(F98,G98)</x:f>
        <x:v>1.1385742871435718</x:v>
      </x:c>
      <x:c r="J98" s="58" t="n">
        <x:f>ROUND(ROUNDUP(I98/H98,0)*H98,2)</x:f>
        <x:v>1.2</x:v>
      </x:c>
      <x:c r="K98" s="33"/>
      <x:c r="L98" s="33"/>
      <x:c r="M98" s="33"/>
      <x:c r="N98" s="33"/>
      <x:c r="O98" s="33"/>
    </x:row>
    <x:row r="99" ht="26" customHeight="1">
      <x:c r="A99" s="39" t="str">
        <x:v>Z095</x:v>
      </x:c>
      <x:c r="B99" s="39" t="str">
        <x:v>AUD</x:v>
      </x:c>
      <x:c r="C99" s="48" t="n">
        <x:v>0.95</x:v>
      </x:c>
      <x:c r="D99" s="51" t="n">
        <x:v>1.421236934256602</x:v>
      </x:c>
      <x:c r="E99" s="48" t="n">
        <x:v>0.99</x:v>
      </x:c>
      <x:c r="F99" s="45" t="n">
        <x:f>C99*D99*E99</x:f>
        <x:v>1.336673336668334</x:v>
      </x:c>
      <x:c r="G99" s="45" t="n">
        <x:v>0.8527421605539612</x:v>
      </x:c>
      <x:c r="H99" s="54" t="n">
        <x:v>0.1</x:v>
      </x:c>
      <x:c r="I99" s="45" t="n">
        <x:f>MAX(F99,G99)</x:f>
        <x:v>1.336673336668334</x:v>
      </x:c>
      <x:c r="J99" s="58" t="n">
        <x:f>ROUND(ROUNDUP(I99/H99,0)*H99,2)</x:f>
        <x:v>1.4</x:v>
      </x:c>
      <x:c r="K99" s="33"/>
      <x:c r="L99" s="33"/>
      <x:c r="M99" s="33"/>
      <x:c r="N99" s="33"/>
      <x:c r="O99" s="33"/>
    </x:row>
    <x:row r="100" ht="26" customHeight="1">
      <x:c r="A100" s="39" t="str">
        <x:v>Z095</x:v>
      </x:c>
      <x:c r="B100" s="39" t="str">
        <x:v>EUR</x:v>
      </x:c>
      <x:c r="C100" s="48" t="n">
        <x:v>0.95</x:v>
      </x:c>
      <x:c r="D100" s="51" t="n">
        <x:v>0.8748124062031015</x:v>
      </x:c>
      <x:c r="E100" s="48" t="n">
        <x:v>0.99</x:v>
      </x:c>
      <x:c r="F100" s="45" t="n">
        <x:f>C100*D100*E100</x:f>
        <x:v>0.8227610680340169</x:v>
      </x:c>
      <x:c r="G100" s="45" t="n">
        <x:v>0.5248874437218609</x:v>
      </x:c>
      <x:c r="H100" s="54" t="n">
        <x:v>0.01</x:v>
      </x:c>
      <x:c r="I100" s="45" t="n">
        <x:f>MAX(F100,G100)</x:f>
        <x:v>0.8227610680340169</x:v>
      </x:c>
      <x:c r="J100" s="58" t="n">
        <x:f>ROUND(ROUNDUP(I100/H100,0)*H100,2)</x:f>
        <x:v>0.83</x:v>
      </x:c>
      <x:c r="K100" s="33"/>
      <x:c r="L100" s="33"/>
      <x:c r="M100" s="33"/>
      <x:c r="N100" s="33"/>
      <x:c r="O100" s="33"/>
    </x:row>
    <x:row r="101" ht="26" customHeight="1">
      <x:c r="A101" s="39" t="str">
        <x:v>Z100</x:v>
      </x:c>
      <x:c r="B101" s="39" t="str">
        <x:v>USD</x:v>
      </x:c>
      <x:c r="C101" s="48" t="n">
        <x:v>1</x:v>
      </x:c>
      <x:c r="D101" s="51" t="n">
        <x:v>1</x:v>
      </x:c>
      <x:c r="E101" s="48" t="n">
        <x:v>0.99</x:v>
      </x:c>
      <x:c r="F101" s="45" t="n">
        <x:f>C101*D101*E101</x:f>
        <x:v>0.99</x:v>
      </x:c>
      <x:c r="G101" s="45" t="n">
        <x:v>0.6</x:v>
      </x:c>
      <x:c r="H101" s="54" t="n">
        <x:v>0.01</x:v>
      </x:c>
      <x:c r="I101" s="45" t="n">
        <x:f>MAX(F101,G101)</x:f>
        <x:v>0.99</x:v>
      </x:c>
      <x:c r="J101" s="58" t="n">
        <x:f>ROUND(ROUNDUP(I101/H101,0)*H101,2)</x:f>
        <x:v>0.99</x:v>
      </x:c>
      <x:c r="K101" s="33"/>
      <x:c r="L101" s="33"/>
      <x:c r="M101" s="33"/>
      <x:c r="N101" s="33"/>
      <x:c r="O101" s="33"/>
    </x:row>
    <x:row r="102" ht="26" customHeight="1">
      <x:c r="A102" s="39" t="str">
        <x:v>Z100</x:v>
      </x:c>
      <x:c r="B102" s="39" t="str">
        <x:v>EUR</x:v>
      </x:c>
      <x:c r="C102" s="48" t="n">
        <x:v>1</x:v>
      </x:c>
      <x:c r="D102" s="51" t="n">
        <x:v>0.8748124062031015</x:v>
      </x:c>
      <x:c r="E102" s="48" t="n">
        <x:v>0.99</x:v>
      </x:c>
      <x:c r="F102" s="45" t="n">
        <x:f>C102*D102*E102</x:f>
        <x:v>0.8660642821410705</x:v>
      </x:c>
      <x:c r="G102" s="45" t="n">
        <x:v>0.5248874437218609</x:v>
      </x:c>
      <x:c r="H102" s="54" t="n">
        <x:v>0.01</x:v>
      </x:c>
      <x:c r="I102" s="45" t="n">
        <x:f>MAX(F102,G102)</x:f>
        <x:v>0.8660642821410705</x:v>
      </x:c>
      <x:c r="J102" s="58" t="n">
        <x:f>ROUND(ROUNDUP(I102/H102,0)*H102,2)</x:f>
        <x:v>0.87</x:v>
      </x:c>
      <x:c r="K102" s="33"/>
      <x:c r="L102" s="33"/>
      <x:c r="M102" s="33"/>
      <x:c r="N102" s="33"/>
      <x:c r="O102" s="33"/>
    </x:row>
    <x:row r="103" ht="26" customHeight="1">
      <x:c r="A103" s="39" t="str">
        <x:v>Z100</x:v>
      </x:c>
      <x:c r="B103" s="39" t="str">
        <x:v>BMD</x:v>
      </x:c>
      <x:c r="C103" s="48" t="n">
        <x:v>1</x:v>
      </x:c>
      <x:c r="D103" s="51" t="n">
        <x:v>1</x:v>
      </x:c>
      <x:c r="E103" s="48" t="n">
        <x:v>0.99</x:v>
      </x:c>
      <x:c r="F103" s="45" t="n">
        <x:f>C103*D103*E103</x:f>
        <x:v>0.99</x:v>
      </x:c>
      <x:c r="G103" s="45" t="n">
        <x:v>0.6</x:v>
      </x:c>
      <x:c r="H103" s="54" t="n">
        <x:v>0.01</x:v>
      </x:c>
      <x:c r="I103" s="45" t="n">
        <x:f>MAX(F103,G103)</x:f>
        <x:v>0.99</x:v>
      </x:c>
      <x:c r="J103" s="58" t="n">
        <x:f>ROUND(ROUNDUP(I103/H103,0)*H103,2)</x:f>
        <x:v>0.99</x:v>
      </x:c>
      <x:c r="K103" s="33"/>
      <x:c r="L103" s="33"/>
      <x:c r="M103" s="33"/>
      <x:c r="N103" s="33"/>
      <x:c r="O103" s="33"/>
    </x:row>
    <x:row r="104" ht="26" customHeight="1">
      <x:c r="A104" s="40" t="str">
        <x:v>Z100</x:v>
      </x:c>
      <x:c r="B104" s="40" t="str">
        <x:v>NOK</x:v>
      </x:c>
      <x:c r="C104" s="49" t="n">
        <x:v>1</x:v>
      </x:c>
      <x:c r="D104" s="52" t="n">
        <x:v>9.454227113556778</x:v>
      </x:c>
      <x:c r="E104" s="49" t="n">
        <x:v>0.99</x:v>
      </x:c>
      <x:c r="F104" s="46" t="n">
        <x:f>C104*D104*E104</x:f>
        <x:v>9.35968484242121</x:v>
      </x:c>
      <x:c r="G104" s="46" t="n">
        <x:v>5.672536268134067</x:v>
      </x:c>
      <x:c r="H104" s="55" t="n">
        <x:v>0.1</x:v>
      </x:c>
      <x:c r="I104" s="46" t="n">
        <x:f>MAX(F104,G104)</x:f>
        <x:v>9.35968484242121</x:v>
      </x:c>
      <x:c r="J104" s="59" t="n">
        <x:f>ROUND(ROUNDUP(I104/H104,0)*H104,2)</x:f>
        <x:v>9.4</x:v>
      </x:c>
      <x:c r="K104" s="33"/>
      <x:c r="L104" s="33"/>
      <x:c r="M104" s="33"/>
      <x:c r="N104" s="33"/>
      <x:c r="O104" s="33"/>
    </x:row>
  </x:sheetData>
  <x:pageMargins left="0.7" right="0.7" top="0.75" bottom="0.75" header="0.3" footer="0.3"/>
</x:worksheet>
</file>