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fc4eeca144a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新价格表" sheetId="1" r:id="R8032fd7293bb4005"/>
    <x:sheet xmlns:r="http://schemas.openxmlformats.org/officeDocument/2006/relationships" name="Pass测算" sheetId="2" r:id="R123140bf2554489b"/>
    <x:sheet xmlns:r="http://schemas.openxmlformats.org/officeDocument/2006/relationships" name="本地显示参考" sheetId="3" r:id="R3b4b8f9b4bcd4188"/>
    <x:sheet xmlns:r="http://schemas.openxmlformats.org/officeDocument/2006/relationships" name="已采纳44项调整" sheetId="4" r:id="R7b299209ee2c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;[Red](#,##0.00);0.00"/>
    <x:numFmt numFmtId="201" formatCode="0.00"/>
    <x:numFmt numFmtId="202" formatCode="#,##0.00"/>
    <x:numFmt numFmtId="203" formatCode="#,##0"/>
    <x:numFmt numFmtId="204" formatCode="#,##0.0000"/>
    <x:numFmt numFmtId="205" formatCode="#,##0.00000000"/>
    <x:numFmt numFmtId="206" formatCode="+#,##0.00;[Red]-#,##0.00;&quot;—&quot;"/>
    <x:numFmt numFmtId="207" formatCode="+0.000%;[Red]-0.000%;&quot;—&quot;"/>
  </x:numFmts>
  <x:fonts count="10">
    <x:font>
      <x:sz val="11"/>
      <x:name val="Carlito"/>
    </x:font>
    <x:font>
      <x:sz val="12"/>
      <x:color rgb="FF111111"/>
      <x:name val="Arial"/>
    </x:font>
    <x:font>
      <x:b/>
      <x:sz val="12"/>
      <x:color rgb="FF111111"/>
      <x:name val="Arial"/>
    </x:font>
    <x:font>
      <x:b/>
      <x:sz val="12"/>
      <x:color rgb="FF707070"/>
      <x:name val="Arial"/>
    </x:font>
    <x:font>
      <x:sz val="12"/>
      <x:color rgb="FF707070"/>
      <x:name val="Arial"/>
    </x:font>
    <x:font>
      <x:sz val="11"/>
      <x:color rgb="FF111111"/>
      <x:name val="Arial"/>
    </x:font>
    <x:font>
      <x:b/>
      <x:sz val="11"/>
      <x:color rgb="FF111111"/>
      <x:name val="Arial"/>
    </x:font>
    <x:font>
      <x:sz val="11"/>
      <x:color rgb="FF555555"/>
      <x:name val="Arial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8F8F8"/>
      </x:patternFill>
    </x:fill>
    <x:fill>
      <x:patternFill patternType="solid">
        <x:fgColor rgb="FFF4F8F4"/>
      </x:patternFill>
    </x:fill>
    <x:fill>
      <x:patternFill patternType="solid">
        <x:fgColor rgb="FFF3F5F7"/>
      </x:patternFill>
    </x:fill>
  </x:fills>
  <x:borders count="5">
    <x:border>
      <x:left/>
      <x:right/>
      <x:top/>
      <x:bottom/>
      <x:diagonal/>
    </x:border>
    <x:border>
      <x:left style="thin">
        <x:color rgb="FFE3E3E3"/>
      </x:left>
      <x:right style="thin">
        <x:color rgb="FFE3E3E3"/>
      </x:right>
      <x:top style="thin">
        <x:color rgb="FFE3E3E3"/>
      </x:top>
      <x:bottom style="thin">
        <x:color rgb="FFE3E3E3"/>
      </x:bottom>
      <x:diagonal/>
    </x:border>
    <x:border>
      <x:left/>
      <x:right/>
      <x:top/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E5E7EB"/>
      </x:bottom>
      <x:diagonal/>
    </x:border>
    <x:border>
      <x:left/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right" vertical="center"/>
    </x:xf>
    <x:xf numFmtId="200" fontId="1" fillId="2" borderId="1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left" vertical="center"/>
    </x:xf>
    <x:xf numFmtId="202" fontId="1" fillId="2" borderId="1" xfId="0" applyNumberFormat="1" applyFont="1" applyFill="1" applyBorder="1" applyAlignment="1">
      <x:alignment horizontal="right" vertical="center"/>
    </x:xf>
    <x:xf numFmtId="203" fontId="1" fillId="2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vertical="center"/>
    </x:xf>
    <x:xf numFmtId="201" fontId="2" fillId="2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left" vertical="center"/>
    </x:xf>
    <x:xf numFmtId="203" fontId="2" fillId="2" borderId="1" xfId="0" applyNumberFormat="1" applyFont="1" applyFill="1" applyBorder="1" applyAlignment="1">
      <x:alignment horizontal="right" vertical="center"/>
    </x:xf>
    <x:xf numFmtId="202" fontId="2" fillId="2" borderId="1" xfId="0" applyNumberFormat="1" applyFont="1" applyFill="1" applyBorder="1" applyAlignment="1">
      <x:alignment horizontal="right" vertical="center"/>
    </x:xf>
    <x:xf numFmtId="200" fontId="2" fillId="2" borderId="1" xfId="0" applyNumberFormat="1" applyFont="1" applyFill="1" applyBorder="1" applyAlignment="1">
      <x:alignment horizontal="right" vertical="center"/>
    </x:xf>
    <x:xf numFmtId="0" fontId="2" fillId="4" borderId="1" xfId="0" applyNumberFormat="1" applyFont="1" applyFill="1" applyBorder="1" applyAlignment="1">
      <x:alignment horizontal="center" vertical="center"/>
    </x:xf>
    <x:xf numFmtId="200" fontId="1" fillId="4" borderId="1" xfId="0" applyNumberFormat="1" applyFont="1" applyFill="1" applyBorder="1" applyAlignment="1">
      <x:alignment horizontal="right" vertical="center"/>
    </x:xf>
    <x:xf numFmtId="203" fontId="1" fillId="4" borderId="1" xfId="0" applyNumberFormat="1" applyFont="1" applyFill="1" applyBorder="1" applyAlignment="1">
      <x:alignment horizontal="right" vertical="center"/>
    </x:xf>
    <x:xf numFmtId="203" fontId="2" fillId="4" borderId="1" xfId="0" applyNumberFormat="1" applyFont="1" applyFill="1" applyBorder="1" applyAlignment="1">
      <x:alignment horizontal="right" vertical="center"/>
    </x:xf>
    <x:xf numFmtId="200" fontId="2" fillId="4" borderId="1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4" fillId="2" borderId="1" xfId="0" applyNumberFormat="1" applyFont="1" applyFill="1" applyBorder="1" applyAlignment="1">
      <x:alignment horizontal="right" vertical="center"/>
    </x:xf>
    <x:xf numFmtId="203" fontId="4" fillId="2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4" fontId="5" fillId="0" borderId="2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204" fontId="5" fillId="0" borderId="4" xfId="0" applyNumberFormat="1" applyFont="1" applyFill="1" applyBorder="1" applyAlignment="1">
      <x:alignment vertical="center"/>
    </x:xf>
    <x:xf numFmtId="204" fontId="5" fillId="0" borderId="2" xfId="0" applyNumberFormat="1" applyFont="1" applyFill="1" applyBorder="1" applyAlignment="1">
      <x:alignment horizontal="right" vertical="center"/>
    </x:xf>
    <x:xf numFmtId="204" fontId="5" fillId="0" borderId="3" xfId="0" applyNumberFormat="1" applyFont="1" applyFill="1" applyBorder="1" applyAlignment="1">
      <x:alignment horizontal="right" vertical="center"/>
    </x:xf>
    <x:xf numFmtId="204" fontId="5" fillId="0" borderId="4" xfId="0" applyNumberFormat="1" applyFont="1" applyFill="1" applyBorder="1" applyAlignment="1">
      <x:alignment horizontal="right" vertical="center"/>
    </x:xf>
    <x:xf numFmtId="201" fontId="5" fillId="0" borderId="2" xfId="0" applyNumberFormat="1" applyFont="1" applyFill="1" applyBorder="1" applyAlignment="1">
      <x:alignment horizontal="right" vertical="center"/>
    </x:xf>
    <x:xf numFmtId="201" fontId="5" fillId="0" borderId="3" xfId="0" applyNumberFormat="1" applyFont="1" applyFill="1" applyBorder="1" applyAlignment="1">
      <x:alignment horizontal="right" vertical="center"/>
    </x:xf>
    <x:xf numFmtId="201" fontId="5" fillId="0" borderId="4" xfId="0" applyNumberFormat="1" applyFont="1" applyFill="1" applyBorder="1" applyAlignment="1">
      <x:alignment horizontal="right" vertical="center"/>
    </x:xf>
    <x:xf numFmtId="205" fontId="5" fillId="0" borderId="2" xfId="0" applyNumberFormat="1" applyFont="1" applyFill="1" applyBorder="1" applyAlignment="1">
      <x:alignment horizontal="right" vertical="center"/>
    </x:xf>
    <x:xf numFmtId="205" fontId="5" fillId="0" borderId="3" xfId="0" applyNumberFormat="1" applyFont="1" applyFill="1" applyBorder="1" applyAlignment="1">
      <x:alignment horizontal="right" vertical="center"/>
    </x:xf>
    <x:xf numFmtId="205" fontId="5" fillId="0" borderId="4" xfId="0" applyNumberFormat="1" applyFont="1" applyFill="1" applyBorder="1" applyAlignment="1">
      <x:alignment horizontal="right" vertical="center"/>
    </x:xf>
    <x:xf numFmtId="202" fontId="5" fillId="0" borderId="2" xfId="0" applyNumberFormat="1" applyFont="1" applyFill="1" applyBorder="1" applyAlignment="1">
      <x:alignment horizontal="right" vertical="center"/>
    </x:xf>
    <x:xf numFmtId="202" fontId="5" fillId="0" borderId="3" xfId="0" applyNumberFormat="1" applyFont="1" applyFill="1" applyBorder="1" applyAlignment="1">
      <x:alignment horizontal="right" vertical="center"/>
    </x:xf>
    <x:xf numFmtId="202" fontId="5" fillId="0" borderId="4" xfId="0" applyNumberFormat="1" applyFont="1" applyFill="1" applyBorder="1" applyAlignment="1">
      <x:alignment horizontal="right" vertical="center"/>
    </x:xf>
    <x:xf numFmtId="0" fontId="6" fillId="4" borderId="1" xfId="0" applyNumberFormat="1" applyFont="1" applyFill="1" applyBorder="1" applyAlignment="1">
      <x:alignment horizontal="center" vertical="center"/>
    </x:xf>
    <x:xf numFmtId="202" fontId="5" fillId="4" borderId="2" xfId="0" applyNumberFormat="1" applyFont="1" applyFill="1" applyBorder="1" applyAlignment="1">
      <x:alignment horizontal="right" vertical="center"/>
    </x:xf>
    <x:xf numFmtId="202" fontId="5" fillId="4" borderId="3" xfId="0" applyNumberFormat="1" applyFont="1" applyFill="1" applyBorder="1" applyAlignment="1">
      <x:alignment horizontal="right" vertical="center"/>
    </x:xf>
    <x:xf numFmtId="202" fontId="5" fillId="4" borderId="4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horizontal="center" vertical="center"/>
    </x:xf>
    <x:xf numFmtId="203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203" fontId="8" fillId="2" borderId="0" xfId="0" applyNumberFormat="1" applyFont="1" applyFill="1" applyBorder="1" applyAlignment="1">
      <x:alignment vertical="center"/>
    </x:xf>
    <x:xf numFmtId="202" fontId="8" fillId="2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7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206" fontId="8" fillId="2" borderId="0" xfId="0" applyNumberFormat="1" applyFont="1" applyFill="1" applyBorder="1" applyAlignment="1">
      <x:alignment vertical="center"/>
    </x:xf>
    <x:xf numFmtId="207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228e8defc4ec1" /><Relationship Type="http://schemas.openxmlformats.org/officeDocument/2006/relationships/theme" Target="/xl/theme/theme1.xml" Id="R36df616e849043a3" /><Relationship Type="http://schemas.openxmlformats.org/officeDocument/2006/relationships/sharedStrings" Target="/xl/sharedStrings.xml" Id="Rec2c33a05f5a47e0" /><Relationship Type="http://schemas.openxmlformats.org/officeDocument/2006/relationships/worksheet" Target="/xl/worksheets/sheet1.xml" Id="R8032fd7293bb4005" /><Relationship Type="http://schemas.openxmlformats.org/officeDocument/2006/relationships/worksheet" Target="/xl/worksheets/sheet2.xml" Id="R123140bf2554489b" /><Relationship Type="http://schemas.openxmlformats.org/officeDocument/2006/relationships/worksheet" Target="/xl/worksheets/sheet3.xml" Id="R3b4b8f9b4bcd4188" /><Relationship Type="http://schemas.openxmlformats.org/officeDocument/2006/relationships/worksheet" Target="/xl/worksheets/sheet4.xml" Id="R7b299209ee2c4d58" /></Relationships>
</file>

<file path=xl/tables/table1.xml><?xml version="1.0" encoding="utf-8"?>
<x:table xmlns:x="http://schemas.openxmlformats.org/spreadsheetml/2006/main" id="1" name="RegionalPrices" displayName="RegionalPrices" ref="A1:S115" headerRowCount="1" totalsRowCount="0" totalsRowShown="0">
  <x:autoFilter ref="A1:S115"/>
  <x:tableColumns count="19">
    <x:tableColumn id="1" name="国家／地区"/>
    <x:tableColumn id="2" name="系数"/>
    <x:tableColumn id="3" name="币种"/>
    <x:tableColumn id="4" name="试用7天"/>
    <x:tableColumn id="5" name="Basic月"/>
    <x:tableColumn id="6" name="Plus月"/>
    <x:tableColumn id="7" name="新Pro月"/>
    <x:tableColumn id="8" name="Basic年"/>
    <x:tableColumn id="9" name="Plus年"/>
    <x:tableColumn id="10" name="新Pro年"/>
    <x:tableColumn id="11" name="作业包"/>
    <x:tableColumn id="12" name="检测包"/>
    <x:tableColumn id="13" name="Humanizer包"/>
    <x:tableColumn id="14" name="Study Pass月"/>
    <x:tableColumn id="15" name="原组别"/>
    <x:tableColumn id="16" name="倍率区"/>
    <x:tableColumn id="17" name="沙盒配置状态"/>
    <x:tableColumn id="18" name="原Pro月（历史）"/>
    <x:tableColumn id="19" name="原Pro年（历史）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NativeCurrentPrices" displayName="NativeCurrentPrices" ref="A1:G1255" headerRowCount="1" totalsRowCount="0" totalsRowShown="0">
  <x:tableColumns count="7">
    <x:tableColumn id="1" name="国家／地区"/>
    <x:tableColumn id="2" name="组别"/>
    <x:tableColumn id="3" name="销售币种"/>
    <x:tableColumn id="4" name="商品／周期"/>
    <x:tableColumn id="5" name="批准后金额"/>
    <x:tableColumn id="6" name="本地显示参考（代码未接入）"/>
    <x:tableColumn id="7" name="locale参考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ApprovedTailChanges" displayName="ApprovedTailChanges" ref="A1:I45" headerRowCount="1" totalsRowCount="0" totalsRowShown="0">
  <x:tableColumns count="9">
    <x:tableColumn id="1" name="国家／地区"/>
    <x:tableColumn id="2" name="销售币种"/>
    <x:tableColumn id="3" name="商品／周期"/>
    <x:tableColumn id="4" name="调整前金额"/>
    <x:tableColumn id="5" name="批准后金额"/>
    <x:tableColumn id="6" name="差额"/>
    <x:tableColumn id="7" name="变化幅度"/>
    <x:tableColumn id="8" name="批准／调整理由"/>
    <x:tableColumn id="9" name="依据类型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54ca3a75734c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a9dce01d8041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29e679637840cc" /></Relationships>
</file>

<file path=xl/worksheets/sheet1.xml><?xml version="1.0" encoding="utf-8"?>
<x:worksheet xmlns:x="http://schemas.openxmlformats.org/spreadsheetml/2006/main">
  <x:sheetPr>
    <x:tabColor rgb="FF323232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3" hidden="0" customWidth="1"/>
    <x:col min="13" max="13" width="17" hidden="0" customWidth="1"/>
    <x:col min="14" max="14" width="17" hidden="0" customWidth="1"/>
    <x:col min="15" max="15" width="10" hidden="0" customWidth="1"/>
    <x:col min="16" max="16" width="11" hidden="0" customWidth="1"/>
    <x:col min="17" max="17" width="22" hidden="0" customWidth="1"/>
    <x:col min="18" max="18" width="20" hidden="0" customWidth="1"/>
    <x:col min="19" max="19" width="20" hidden="0" customWidth="1"/>
  </x:cols>
  <x:sheetData>
    <x:row r="1" ht="34" customHeight="1">
      <x:c r="A1" s="7" t="str">
        <x:v>国家／地区</x:v>
      </x:c>
      <x:c r="B1" s="7" t="str">
        <x:v>系数</x:v>
      </x:c>
      <x:c r="C1" s="7" t="str">
        <x:v>币种</x:v>
      </x:c>
      <x:c r="D1" s="7" t="str">
        <x:v>试用7天</x:v>
      </x:c>
      <x:c r="E1" s="7" t="str">
        <x:v>Basic月</x:v>
      </x:c>
      <x:c r="F1" s="7" t="str">
        <x:v>Plus月</x:v>
      </x:c>
      <x:c r="G1" s="22" t="str">
        <x:v>新Pro月</x:v>
      </x:c>
      <x:c r="H1" s="7" t="str">
        <x:v>Basic年</x:v>
      </x:c>
      <x:c r="I1" s="7" t="str">
        <x:v>Plus年</x:v>
      </x:c>
      <x:c r="J1" s="22" t="str">
        <x:v>新Pro年</x:v>
      </x:c>
      <x:c r="K1" s="7" t="str">
        <x:v>作业包</x:v>
      </x:c>
      <x:c r="L1" s="7" t="str">
        <x:v>检测包</x:v>
      </x:c>
      <x:c r="M1" s="7" t="str">
        <x:v>Humanizer包</x:v>
      </x:c>
      <x:c r="N1" s="7" t="str">
        <x:v>Study Pass月</x:v>
      </x:c>
      <x:c r="O1" s="7" t="str">
        <x:v>原组别</x:v>
      </x:c>
      <x:c r="P1" s="7" t="str">
        <x:v>倍率区</x:v>
      </x:c>
      <x:c r="Q1" s="7" t="str">
        <x:v>沙盒配置状态</x:v>
      </x:c>
      <x:c r="R1" s="27" t="str">
        <x:v>原Pro月（历史）</x:v>
      </x:c>
      <x:c r="S1" s="27" t="str">
        <x:v>原Pro年（历史）</x:v>
      </x:c>
    </x:row>
    <x:row r="2" ht="29" customHeight="1">
      <x:c r="A2" s="4" t="str">
        <x:v>美国</x:v>
      </x:c>
      <x:c r="B2" s="10" t="n">
        <x:v>1</x:v>
      </x:c>
      <x:c r="C2" s="13" t="str">
        <x:v>USD</x:v>
      </x:c>
      <x:c r="D2" s="12" t="n">
        <x:v>2.99</x:v>
      </x:c>
      <x:c r="E2" s="12" t="n">
        <x:v>19.99</x:v>
      </x:c>
      <x:c r="F2" s="12" t="n">
        <x:v>39.99</x:v>
      </x:c>
      <x:c r="G2" s="23" t="n">
        <x:v>29.99</x:v>
      </x:c>
      <x:c r="H2" s="12" t="n">
        <x:v>95.88</x:v>
      </x:c>
      <x:c r="I2" s="12" t="n">
        <x:v>191.88</x:v>
      </x:c>
      <x:c r="J2" s="23" t="n">
        <x:f>ROUND(G2*12,2)</x:f>
        <x:v>359.88</x:v>
      </x:c>
      <x:c r="K2" s="12" t="n">
        <x:v>9.99</x:v>
      </x:c>
      <x:c r="L2" s="12" t="n">
        <x:v>4.99</x:v>
      </x:c>
      <x:c r="M2" s="12" t="n">
        <x:v>6.99</x:v>
      </x:c>
      <x:c r="N2" s="14" t="n">
        <x:f>'Pass测算'!J101</x:f>
        <x:v>0.99</x:v>
      </x:c>
      <x:c r="O2" s="13" t="str">
        <x:v>第2组</x:v>
      </x:c>
      <x:c r="P2" s="13" t="str">
        <x:v>Z100</x:v>
      </x:c>
      <x:c r="Q2" s="13" t="str">
        <x:v>已配置</x:v>
      </x:c>
      <x:c r="R2" s="28" t="n">
        <x:v>79.99</x:v>
      </x:c>
      <x:c r="S2" s="28" t="n">
        <x:v>383.88</x:v>
      </x:c>
    </x:row>
    <x:row r="3" ht="29" customHeight="1">
      <x:c r="A3" s="4" t="str">
        <x:v>印度</x:v>
      </x:c>
      <x:c r="B3" s="10" t="n">
        <x:v>0.2</x:v>
      </x:c>
      <x:c r="C3" s="13" t="str">
        <x:v>INR</x:v>
      </x:c>
      <x:c r="D3" s="15" t="n">
        <x:v>59</x:v>
      </x:c>
      <x:c r="E3" s="15" t="n">
        <x:v>379</x:v>
      </x:c>
      <x:c r="F3" s="15" t="n">
        <x:v>759</x:v>
      </x:c>
      <x:c r="G3" s="24" t="n">
        <x:v>569</x:v>
      </x:c>
      <x:c r="H3" s="15" t="n">
        <x:v>1799</x:v>
      </x:c>
      <x:c r="I3" s="15" t="n">
        <x:v>3699</x:v>
      </x:c>
      <x:c r="J3" s="24" t="n">
        <x:f>ROUND(G3*12,2)</x:f>
        <x:v>6828</x:v>
      </x:c>
      <x:c r="K3" s="15" t="n">
        <x:v>189</x:v>
      </x:c>
      <x:c r="L3" s="15" t="n">
        <x:v>99</x:v>
      </x:c>
      <x:c r="M3" s="15" t="n">
        <x:v>129</x:v>
      </x:c>
      <x:c r="N3" s="15" t="n">
        <x:f>'Pass测算'!J2</x:f>
        <x:v>57</x:v>
      </x:c>
      <x:c r="O3" s="13" t="str">
        <x:v>第2组</x:v>
      </x:c>
      <x:c r="P3" s="13" t="str">
        <x:v>Z020</x:v>
      </x:c>
      <x:c r="Q3" s="13" t="str">
        <x:v>已配置</x:v>
      </x:c>
      <x:c r="R3" s="29" t="n">
        <x:v>1499</x:v>
      </x:c>
      <x:c r="S3" s="29" t="n">
        <x:v>7299</x:v>
      </x:c>
    </x:row>
    <x:row r="4" ht="29" customHeight="1">
      <x:c r="A4" s="4" t="str">
        <x:v>巴西</x:v>
      </x:c>
      <x:c r="B4" s="10" t="n">
        <x:v>0.4</x:v>
      </x:c>
      <x:c r="C4" s="13" t="str">
        <x:v>BRL</x:v>
      </x:c>
      <x:c r="D4" s="12" t="n">
        <x:v>5.9</x:v>
      </x:c>
      <x:c r="E4" s="12" t="n">
        <x:v>40.9</x:v>
      </x:c>
      <x:c r="F4" s="12" t="n">
        <x:v>80.9</x:v>
      </x:c>
      <x:c r="G4" s="23" t="n">
        <x:v>60.9</x:v>
      </x:c>
      <x:c r="H4" s="12" t="n">
        <x:v>194.9</x:v>
      </x:c>
      <x:c r="I4" s="12" t="n">
        <x:v>390.9</x:v>
      </x:c>
      <x:c r="J4" s="23" t="n">
        <x:f>ROUND(G4*12,2)</x:f>
        <x:v>730.8</x:v>
      </x:c>
      <x:c r="K4" s="12" t="n">
        <x:v>19.9</x:v>
      </x:c>
      <x:c r="L4" s="12" t="n">
        <x:v>9.9</x:v>
      </x:c>
      <x:c r="M4" s="12" t="n">
        <x:v>13.9</x:v>
      </x:c>
      <x:c r="N4" s="14" t="n">
        <x:f>'Pass测算'!J49</x:f>
        <x:v>3.1</x:v>
      </x:c>
      <x:c r="O4" s="13" t="str">
        <x:v>第2组</x:v>
      </x:c>
      <x:c r="P4" s="13" t="str">
        <x:v>Z040</x:v>
      </x:c>
      <x:c r="Q4" s="13" t="str">
        <x:v>已配置</x:v>
      </x:c>
      <x:c r="R4" s="28" t="n">
        <x:v>162.99</x:v>
      </x:c>
      <x:c r="S4" s="28" t="n">
        <x:v>780.99</x:v>
      </x:c>
    </x:row>
    <x:row r="5" ht="29" customHeight="1">
      <x:c r="A5" s="16" t="str">
        <x:v>中国香港</x:v>
      </x:c>
      <x:c r="B5" s="17" t="n">
        <x:v>0.8</x:v>
      </x:c>
      <x:c r="C5" s="18" t="str">
        <x:v>HKD</x:v>
      </x:c>
      <x:c r="D5" s="19" t="n">
        <x:v>19</x:v>
      </x:c>
      <x:c r="E5" s="19" t="n">
        <x:v>129</x:v>
      </x:c>
      <x:c r="F5" s="19" t="n">
        <x:v>249</x:v>
      </x:c>
      <x:c r="G5" s="25" t="n">
        <x:v>189</x:v>
      </x:c>
      <x:c r="H5" s="19" t="n">
        <x:v>619</x:v>
      </x:c>
      <x:c r="I5" s="19" t="n">
        <x:v>1199</x:v>
      </x:c>
      <x:c r="J5" s="25" t="n">
        <x:f>ROUND(G5*12,2)</x:f>
        <x:v>2268</x:v>
      </x:c>
      <x:c r="K5" s="19" t="n">
        <x:v>59</x:v>
      </x:c>
      <x:c r="L5" s="19" t="n">
        <x:v>29</x:v>
      </x:c>
      <x:c r="M5" s="19" t="n">
        <x:v>45</x:v>
      </x:c>
      <x:c r="N5" s="20" t="n">
        <x:f>'Pass测算'!J89</x:f>
        <x:v>6.4</x:v>
      </x:c>
      <x:c r="O5" s="18" t="str">
        <x:v>第1组</x:v>
      </x:c>
      <x:c r="P5" s="18" t="str">
        <x:v>Z080</x:v>
      </x:c>
      <x:c r="Q5" s="18" t="str">
        <x:v>已配置</x:v>
      </x:c>
      <x:c r="R5" s="29" t="n">
        <x:v>499</x:v>
      </x:c>
      <x:c r="S5" s="29" t="n">
        <x:v>2399</x:v>
      </x:c>
    </x:row>
    <x:row r="6" ht="29" customHeight="1">
      <x:c r="A6" s="16" t="str">
        <x:v>中国台湾</x:v>
      </x:c>
      <x:c r="B6" s="17" t="n">
        <x:v>0.65</x:v>
      </x:c>
      <x:c r="C6" s="18" t="str">
        <x:v>TWD</x:v>
      </x:c>
      <x:c r="D6" s="19" t="n">
        <x:v>59</x:v>
      </x:c>
      <x:c r="E6" s="19" t="n">
        <x:v>419</x:v>
      </x:c>
      <x:c r="F6" s="19" t="n">
        <x:v>839</x:v>
      </x:c>
      <x:c r="G6" s="25" t="n">
        <x:v>629</x:v>
      </x:c>
      <x:c r="H6" s="19" t="n">
        <x:v>1999</x:v>
      </x:c>
      <x:c r="I6" s="19" t="n">
        <x:v>3999</x:v>
      </x:c>
      <x:c r="J6" s="25" t="n">
        <x:f>ROUND(G6*12,2)</x:f>
        <x:v>7548</x:v>
      </x:c>
      <x:c r="K6" s="19" t="n">
        <x:v>209</x:v>
      </x:c>
      <x:c r="L6" s="19" t="n">
        <x:v>109</x:v>
      </x:c>
      <x:c r="M6" s="19" t="n">
        <x:v>149</x:v>
      </x:c>
      <x:c r="N6" s="19" t="n">
        <x:f>'Pass测算'!J81</x:f>
        <x:v>21</x:v>
      </x:c>
      <x:c r="O6" s="18" t="str">
        <x:v>第1组</x:v>
      </x:c>
      <x:c r="P6" s="18" t="str">
        <x:v>Z065</x:v>
      </x:c>
      <x:c r="Q6" s="18" t="str">
        <x:v>已配置</x:v>
      </x:c>
      <x:c r="R6" s="29" t="n">
        <x:v>1699</x:v>
      </x:c>
      <x:c r="S6" s="29" t="n">
        <x:v>8099</x:v>
      </x:c>
    </x:row>
    <x:row r="7" ht="29" customHeight="1">
      <x:c r="A7" s="4" t="str">
        <x:v>越南</x:v>
      </x:c>
      <x:c r="B7" s="10" t="n">
        <x:v>0.25</x:v>
      </x:c>
      <x:c r="C7" s="13" t="str">
        <x:v>VND</x:v>
      </x:c>
      <x:c r="D7" s="15" t="n">
        <x:v>19000</x:v>
      </x:c>
      <x:c r="E7" s="15" t="n">
        <x:v>129000</x:v>
      </x:c>
      <x:c r="F7" s="15" t="n">
        <x:v>259000</x:v>
      </x:c>
      <x:c r="G7" s="24" t="n">
        <x:v>189000</x:v>
      </x:c>
      <x:c r="H7" s="15" t="n">
        <x:v>619000</x:v>
      </x:c>
      <x:c r="I7" s="15" t="n">
        <x:v>1239000</x:v>
      </x:c>
      <x:c r="J7" s="24" t="n">
        <x:f>ROUND(G7*12,2)</x:f>
        <x:v>2268000</x:v>
      </x:c>
      <x:c r="K7" s="15" t="n">
        <x:v>65000</x:v>
      </x:c>
      <x:c r="L7" s="15" t="n">
        <x:v>32000</x:v>
      </x:c>
      <x:c r="M7" s="15" t="n">
        <x:v>45000</x:v>
      </x:c>
      <x:c r="N7" s="15" t="n">
        <x:f>'Pass测算'!J22</x:f>
        <x:v>15500</x:v>
      </x:c>
      <x:c r="O7" s="13" t="str">
        <x:v>第2组</x:v>
      </x:c>
      <x:c r="P7" s="13" t="str">
        <x:v>Z025</x:v>
      </x:c>
      <x:c r="Q7" s="13" t="str">
        <x:v>已配置</x:v>
      </x:c>
      <x:c r="R7" s="29" t="n">
        <x:v>519000</x:v>
      </x:c>
      <x:c r="S7" s="29" t="n">
        <x:v>2490000</x:v>
      </x:c>
    </x:row>
    <x:row r="8" ht="29" customHeight="1">
      <x:c r="A8" s="4" t="str">
        <x:v>阿根廷</x:v>
      </x:c>
      <x:c r="B8" s="10" t="n">
        <x:v>0.4</x:v>
      </x:c>
      <x:c r="C8" s="13" t="str">
        <x:v>ARS</x:v>
      </x:c>
      <x:c r="D8" s="15" t="n">
        <x:v>1799</x:v>
      </x:c>
      <x:c r="E8" s="15" t="n">
        <x:v>11900</x:v>
      </x:c>
      <x:c r="F8" s="15" t="n">
        <x:v>23900</x:v>
      </x:c>
      <x:c r="G8" s="24" t="n">
        <x:v>17900</x:v>
      </x:c>
      <x:c r="H8" s="15" t="n">
        <x:v>57900</x:v>
      </x:c>
      <x:c r="I8" s="15" t="n">
        <x:v>115900</x:v>
      </x:c>
      <x:c r="J8" s="24" t="n">
        <x:f>ROUND(G8*12,2)</x:f>
        <x:v>214800</x:v>
      </x:c>
      <x:c r="K8" s="15" t="n">
        <x:v>6099</x:v>
      </x:c>
      <x:c r="L8" s="15" t="n">
        <x:v>2999</x:v>
      </x:c>
      <x:c r="M8" s="15" t="n">
        <x:v>4199</x:v>
      </x:c>
      <x:c r="N8" s="15" t="n">
        <x:f>'Pass测算'!J50</x:f>
        <x:v>900</x:v>
      </x:c>
      <x:c r="O8" s="13" t="str">
        <x:v>第2组</x:v>
      </x:c>
      <x:c r="P8" s="13" t="str">
        <x:v>Z040</x:v>
      </x:c>
      <x:c r="Q8" s="13" t="str">
        <x:v>已配置</x:v>
      </x:c>
      <x:c r="R8" s="29" t="n">
        <x:v>48900</x:v>
      </x:c>
      <x:c r="S8" s="29" t="n">
        <x:v>229000</x:v>
      </x:c>
    </x:row>
    <x:row r="9" ht="29" customHeight="1">
      <x:c r="A9" s="4" t="str">
        <x:v>澳大利亚</x:v>
      </x:c>
      <x:c r="B9" s="10" t="n">
        <x:v>0.95</x:v>
      </x:c>
      <x:c r="C9" s="13" t="str">
        <x:v>AUD</x:v>
      </x:c>
      <x:c r="D9" s="12" t="n">
        <x:v>3.99</x:v>
      </x:c>
      <x:c r="E9" s="12" t="n">
        <x:v>26.99</x:v>
      </x:c>
      <x:c r="F9" s="12" t="n">
        <x:v>54.99</x:v>
      </x:c>
      <x:c r="G9" s="23" t="n">
        <x:v>40.99</x:v>
      </x:c>
      <x:c r="H9" s="12" t="n">
        <x:v>130.99</x:v>
      </x:c>
      <x:c r="I9" s="12" t="n">
        <x:v>261.99</x:v>
      </x:c>
      <x:c r="J9" s="23" t="n">
        <x:f>ROUND(G9*12,2)</x:f>
        <x:v>491.88</x:v>
      </x:c>
      <x:c r="K9" s="12" t="n">
        <x:v>13.99</x:v>
      </x:c>
      <x:c r="L9" s="12" t="n">
        <x:v>6.99</x:v>
      </x:c>
      <x:c r="M9" s="12" t="n">
        <x:v>9.49</x:v>
      </x:c>
      <x:c r="N9" s="14" t="n">
        <x:f>'Pass测算'!J99</x:f>
        <x:v>1.4</x:v>
      </x:c>
      <x:c r="O9" s="13" t="str">
        <x:v>第2组</x:v>
      </x:c>
      <x:c r="P9" s="13" t="str">
        <x:v>Z095</x:v>
      </x:c>
      <x:c r="Q9" s="13" t="str">
        <x:v>已配置</x:v>
      </x:c>
      <x:c r="R9" s="28" t="n">
        <x:v>108.99</x:v>
      </x:c>
      <x:c r="S9" s="28" t="n">
        <x:v>524.99</x:v>
      </x:c>
    </x:row>
    <x:row r="10" ht="29" customHeight="1">
      <x:c r="A10" s="4" t="str">
        <x:v>马来西亚</x:v>
      </x:c>
      <x:c r="B10" s="10" t="n">
        <x:v>0.35</x:v>
      </x:c>
      <x:c r="C10" s="13" t="str">
        <x:v>MYR</x:v>
      </x:c>
      <x:c r="D10" s="12" t="n">
        <x:v>4.49</x:v>
      </x:c>
      <x:c r="E10" s="12" t="n">
        <x:v>28.99</x:v>
      </x:c>
      <x:c r="F10" s="12" t="n">
        <x:v>56.99</x:v>
      </x:c>
      <x:c r="G10" s="23" t="n">
        <x:v>42.99</x:v>
      </x:c>
      <x:c r="H10" s="12" t="n">
        <x:v>136.99</x:v>
      </x:c>
      <x:c r="I10" s="12" t="n">
        <x:v>273.99</x:v>
      </x:c>
      <x:c r="J10" s="23" t="n">
        <x:f>ROUND(G10*12,2)</x:f>
        <x:v>515.88</x:v>
      </x:c>
      <x:c r="K10" s="12" t="n">
        <x:v>13.99</x:v>
      </x:c>
      <x:c r="L10" s="12" t="n">
        <x:v>6.99</x:v>
      </x:c>
      <x:c r="M10" s="12" t="n">
        <x:v>9.99</x:v>
      </x:c>
      <x:c r="N10" s="14" t="n">
        <x:f>'Pass测算'!J39</x:f>
        <x:v>2.5</x:v>
      </x:c>
      <x:c r="O10" s="13" t="str">
        <x:v>第2组</x:v>
      </x:c>
      <x:c r="P10" s="13" t="str">
        <x:v>Z035</x:v>
      </x:c>
      <x:c r="Q10" s="13" t="str">
        <x:v>已配置</x:v>
      </x:c>
      <x:c r="R10" s="28" t="n">
        <x:v>113.99</x:v>
      </x:c>
      <x:c r="S10" s="28" t="n">
        <x:v>547.99</x:v>
      </x:c>
    </x:row>
    <x:row r="11" ht="29" customHeight="1">
      <x:c r="A11" s="4" t="str">
        <x:v>哥伦比亚</x:v>
      </x:c>
      <x:c r="B11" s="10" t="n">
        <x:v>0.35</x:v>
      </x:c>
      <x:c r="C11" s="13" t="str">
        <x:v>COP</x:v>
      </x:c>
      <x:c r="D11" s="12" t="n">
        <x:v>3299</x:v>
      </x:c>
      <x:c r="E11" s="12" t="n">
        <x:v>21900</x:v>
      </x:c>
      <x:c r="F11" s="12" t="n">
        <x:v>44900</x:v>
      </x:c>
      <x:c r="G11" s="23" t="n">
        <x:v>33900</x:v>
      </x:c>
      <x:c r="H11" s="12" t="n">
        <x:v>106900</x:v>
      </x:c>
      <x:c r="I11" s="12" t="n">
        <x:v>219000</x:v>
      </x:c>
      <x:c r="J11" s="23" t="n">
        <x:f>ROUND(G11*12,2)</x:f>
        <x:v>406800</x:v>
      </x:c>
      <x:c r="K11" s="12" t="n">
        <x:v>10900</x:v>
      </x:c>
      <x:c r="L11" s="12" t="n">
        <x:v>5599</x:v>
      </x:c>
      <x:c r="M11" s="12" t="n">
        <x:v>7799</x:v>
      </x:c>
      <x:c r="N11" s="15" t="n">
        <x:f>'Pass测算'!J40</x:f>
        <x:v>1900</x:v>
      </x:c>
      <x:c r="O11" s="13" t="str">
        <x:v>第2组</x:v>
      </x:c>
      <x:c r="P11" s="13" t="str">
        <x:v>Z035</x:v>
      </x:c>
      <x:c r="Q11" s="13" t="str">
        <x:v>已配置</x:v>
      </x:c>
      <x:c r="R11" s="28" t="n">
        <x:v>88900</x:v>
      </x:c>
      <x:c r="S11" s="28" t="n">
        <x:v>429000</x:v>
      </x:c>
    </x:row>
    <x:row r="12" ht="29" customHeight="1">
      <x:c r="A12" s="4" t="str">
        <x:v>菲律宾</x:v>
      </x:c>
      <x:c r="B12" s="10" t="n">
        <x:v>0.3</x:v>
      </x:c>
      <x:c r="C12" s="13" t="str">
        <x:v>PHP</x:v>
      </x:c>
      <x:c r="D12" s="12" t="n">
        <x:v>59</x:v>
      </x:c>
      <x:c r="E12" s="12" t="n">
        <x:v>379</x:v>
      </x:c>
      <x:c r="F12" s="12" t="n">
        <x:v>759</x:v>
      </x:c>
      <x:c r="G12" s="23" t="n">
        <x:v>569</x:v>
      </x:c>
      <x:c r="H12" s="12" t="n">
        <x:v>1799</x:v>
      </x:c>
      <x:c r="I12" s="12" t="n">
        <x:v>3599</x:v>
      </x:c>
      <x:c r="J12" s="23" t="n">
        <x:f>ROUND(G12*12,2)</x:f>
        <x:v>6828</x:v>
      </x:c>
      <x:c r="K12" s="12" t="n">
        <x:v>189</x:v>
      </x:c>
      <x:c r="L12" s="12" t="n">
        <x:v>99</x:v>
      </x:c>
      <x:c r="M12" s="12" t="n">
        <x:v>129</x:v>
      </x:c>
      <x:c r="N12" s="15" t="n">
        <x:f>'Pass测算'!J31</x:f>
        <x:v>38</x:v>
      </x:c>
      <x:c r="O12" s="13" t="str">
        <x:v>第2组</x:v>
      </x:c>
      <x:c r="P12" s="13" t="str">
        <x:v>Z030</x:v>
      </x:c>
      <x:c r="Q12" s="13" t="str">
        <x:v>已配置</x:v>
      </x:c>
      <x:c r="R12" s="28" t="n">
        <x:v>1499</x:v>
      </x:c>
      <x:c r="S12" s="28" t="n">
        <x:v>7299</x:v>
      </x:c>
    </x:row>
    <x:row r="13" ht="29" customHeight="1">
      <x:c r="A13" s="16" t="str">
        <x:v>印度尼西亚</x:v>
      </x:c>
      <x:c r="B13" s="17" t="n">
        <x:v>0.25</x:v>
      </x:c>
      <x:c r="C13" s="18" t="str">
        <x:v>IDR</x:v>
      </x:c>
      <x:c r="D13" s="19" t="n">
        <x:v>14000</x:v>
      </x:c>
      <x:c r="E13" s="19" t="n">
        <x:v>90000</x:v>
      </x:c>
      <x:c r="F13" s="19" t="n">
        <x:v>179000</x:v>
      </x:c>
      <x:c r="G13" s="25" t="n">
        <x:v>139000</x:v>
      </x:c>
      <x:c r="H13" s="19" t="n">
        <x:v>429000</x:v>
      </x:c>
      <x:c r="I13" s="19" t="n">
        <x:v>869000</x:v>
      </x:c>
      <x:c r="J13" s="25" t="n">
        <x:f>ROUND(G13*12,2)</x:f>
        <x:v>1668000</x:v>
      </x:c>
      <x:c r="K13" s="19" t="n">
        <x:v>45000</x:v>
      </x:c>
      <x:c r="L13" s="19" t="n">
        <x:v>23000</x:v>
      </x:c>
      <x:c r="M13" s="19" t="n">
        <x:v>32000</x:v>
      </x:c>
      <x:c r="N13" s="19" t="n">
        <x:f>'Pass测算'!J23</x:f>
        <x:v>10800</x:v>
      </x:c>
      <x:c r="O13" s="18" t="str">
        <x:v>第1组</x:v>
      </x:c>
      <x:c r="P13" s="18" t="str">
        <x:v>Z025</x:v>
      </x:c>
      <x:c r="Q13" s="18" t="str">
        <x:v>已配置</x:v>
      </x:c>
      <x:c r="R13" s="29" t="n">
        <x:v>359000</x:v>
      </x:c>
      <x:c r="S13" s="29" t="n">
        <x:v>1690000</x:v>
      </x:c>
    </x:row>
    <x:row r="14" ht="29" customHeight="1">
      <x:c r="A14" s="4" t="str">
        <x:v>英国</x:v>
      </x:c>
      <x:c r="B14" s="10" t="n">
        <x:v>0.85</x:v>
      </x:c>
      <x:c r="C14" s="13" t="str">
        <x:v>GBP</x:v>
      </x:c>
      <x:c r="D14" s="12" t="n">
        <x:v>1.99</x:v>
      </x:c>
      <x:c r="E14" s="12" t="n">
        <x:v>12.99</x:v>
      </x:c>
      <x:c r="F14" s="12" t="n">
        <x:v>25.99</x:v>
      </x:c>
      <x:c r="G14" s="23" t="n">
        <x:v>18.99</x:v>
      </x:c>
      <x:c r="H14" s="12" t="n">
        <x:v>60.99</x:v>
      </x:c>
      <x:c r="I14" s="12" t="n">
        <x:v>121.99</x:v>
      </x:c>
      <x:c r="J14" s="23" t="n">
        <x:f>ROUND(G14*12,2)</x:f>
        <x:v>227.88</x:v>
      </x:c>
      <x:c r="K14" s="12" t="n">
        <x:v>6.49</x:v>
      </x:c>
      <x:c r="L14" s="12" t="n">
        <x:v>2.99</x:v>
      </x:c>
      <x:c r="M14" s="12" t="n">
        <x:v>4.49</x:v>
      </x:c>
      <x:c r="N14" s="14" t="n">
        <x:f>'Pass测算'!J92</x:f>
        <x:v>0.65</x:v>
      </x:c>
      <x:c r="O14" s="13" t="str">
        <x:v>第2组</x:v>
      </x:c>
      <x:c r="P14" s="13" t="str">
        <x:v>Z085</x:v>
      </x:c>
      <x:c r="Q14" s="13" t="str">
        <x:v>已配置</x:v>
      </x:c>
      <x:c r="R14" s="28" t="n">
        <x:v>50.99</x:v>
      </x:c>
      <x:c r="S14" s="28" t="n">
        <x:v>244.99</x:v>
      </x:c>
    </x:row>
    <x:row r="15" ht="29" customHeight="1">
      <x:c r="A15" s="16" t="str">
        <x:v>土耳其</x:v>
      </x:c>
      <x:c r="B15" s="17" t="n">
        <x:v>0.4</x:v>
      </x:c>
      <x:c r="C15" s="18" t="str">
        <x:v>TRY</x:v>
      </x:c>
      <x:c r="D15" s="19" t="n">
        <x:v>59</x:v>
      </x:c>
      <x:c r="E15" s="19" t="n">
        <x:v>399</x:v>
      </x:c>
      <x:c r="F15" s="19" t="n">
        <x:v>789</x:v>
      </x:c>
      <x:c r="G15" s="25" t="n">
        <x:v>599</x:v>
      </x:c>
      <x:c r="H15" s="19" t="n">
        <x:v>1899</x:v>
      </x:c>
      <x:c r="I15" s="19" t="n">
        <x:v>3799</x:v>
      </x:c>
      <x:c r="J15" s="25" t="n">
        <x:f>ROUND(G15*12,2)</x:f>
        <x:v>7188</x:v>
      </x:c>
      <x:c r="K15" s="19" t="n">
        <x:v>199</x:v>
      </x:c>
      <x:c r="L15" s="19" t="n">
        <x:v>99</x:v>
      </x:c>
      <x:c r="M15" s="19" t="n">
        <x:v>139</x:v>
      </x:c>
      <x:c r="N15" s="19" t="n">
        <x:f>'Pass测算'!J51</x:f>
        <x:v>30</x:v>
      </x:c>
      <x:c r="O15" s="18" t="str">
        <x:v>第1组</x:v>
      </x:c>
      <x:c r="P15" s="18" t="str">
        <x:v>Z040</x:v>
      </x:c>
      <x:c r="Q15" s="18" t="str">
        <x:v>已配置</x:v>
      </x:c>
      <x:c r="R15" s="29" t="n">
        <x:v>1599</x:v>
      </x:c>
      <x:c r="S15" s="29" t="n">
        <x:v>7599</x:v>
      </x:c>
    </x:row>
    <x:row r="16" ht="29" customHeight="1">
      <x:c r="A16" s="4" t="str">
        <x:v>加拿大</x:v>
      </x:c>
      <x:c r="B16" s="10" t="n">
        <x:v>0.9</x:v>
      </x:c>
      <x:c r="C16" s="13" t="str">
        <x:v>CAD</x:v>
      </x:c>
      <x:c r="D16" s="12" t="n">
        <x:v>3.99</x:v>
      </x:c>
      <x:c r="E16" s="12" t="n">
        <x:v>24.99</x:v>
      </x:c>
      <x:c r="F16" s="12" t="n">
        <x:v>50.99</x:v>
      </x:c>
      <x:c r="G16" s="23" t="n">
        <x:v>37.99</x:v>
      </x:c>
      <x:c r="H16" s="12" t="n">
        <x:v>121.99</x:v>
      </x:c>
      <x:c r="I16" s="12" t="n">
        <x:v>243.99</x:v>
      </x:c>
      <x:c r="J16" s="23" t="n">
        <x:f>ROUND(G16*12,2)</x:f>
        <x:v>455.88</x:v>
      </x:c>
      <x:c r="K16" s="12" t="n">
        <x:v>12.99</x:v>
      </x:c>
      <x:c r="L16" s="12" t="n">
        <x:v>6.49</x:v>
      </x:c>
      <x:c r="M16" s="12" t="n">
        <x:v>8.99</x:v>
      </x:c>
      <x:c r="N16" s="14" t="n">
        <x:f>'Pass测算'!J97</x:f>
        <x:v>1.3</x:v>
      </x:c>
      <x:c r="O16" s="13" t="str">
        <x:v>第2组</x:v>
      </x:c>
      <x:c r="P16" s="13" t="str">
        <x:v>Z090</x:v>
      </x:c>
      <x:c r="Q16" s="13" t="str">
        <x:v>已配置</x:v>
      </x:c>
      <x:c r="R16" s="28" t="n">
        <x:v>101.99</x:v>
      </x:c>
      <x:c r="S16" s="28" t="n">
        <x:v>488.99</x:v>
      </x:c>
    </x:row>
    <x:row r="17" ht="29" customHeight="1">
      <x:c r="A17" s="4" t="str">
        <x:v>新加坡</x:v>
      </x:c>
      <x:c r="B17" s="10" t="n">
        <x:v>0.9</x:v>
      </x:c>
      <x:c r="C17" s="13" t="str">
        <x:v>SGD</x:v>
      </x:c>
      <x:c r="D17" s="12" t="n">
        <x:v>3.49</x:v>
      </x:c>
      <x:c r="E17" s="12" t="n">
        <x:v>22.99</x:v>
      </x:c>
      <x:c r="F17" s="12" t="n">
        <x:v>45.99</x:v>
      </x:c>
      <x:c r="G17" s="23" t="n">
        <x:v>34.99</x:v>
      </x:c>
      <x:c r="H17" s="12" t="n">
        <x:v>109.99</x:v>
      </x:c>
      <x:c r="I17" s="12" t="n">
        <x:v>220.99</x:v>
      </x:c>
      <x:c r="J17" s="23" t="n">
        <x:f>ROUND(G17*12,2)</x:f>
        <x:v>419.88</x:v>
      </x:c>
      <x:c r="K17" s="12" t="n">
        <x:v>11.99</x:v>
      </x:c>
      <x:c r="L17" s="12" t="n">
        <x:v>5.99</x:v>
      </x:c>
      <x:c r="M17" s="12" t="n">
        <x:v>7.99</x:v>
      </x:c>
      <x:c r="N17" s="14" t="n">
        <x:f>'Pass测算'!J98</x:f>
        <x:v>1.2</x:v>
      </x:c>
      <x:c r="O17" s="13" t="str">
        <x:v>第2组</x:v>
      </x:c>
      <x:c r="P17" s="13" t="str">
        <x:v>Z090</x:v>
      </x:c>
      <x:c r="Q17" s="13" t="str">
        <x:v>已配置</x:v>
      </x:c>
      <x:c r="R17" s="28" t="n">
        <x:v>91.99</x:v>
      </x:c>
      <x:c r="S17" s="28" t="n">
        <x:v>441.99</x:v>
      </x:c>
    </x:row>
    <x:row r="18" ht="29" customHeight="1">
      <x:c r="A18" s="4" t="str">
        <x:v>巴基斯坦</x:v>
      </x:c>
      <x:c r="B18" s="10" t="n">
        <x:v>0.2</x:v>
      </x:c>
      <x:c r="C18" s="13" t="str">
        <x:v>PKR</x:v>
      </x:c>
      <x:c r="D18" s="15" t="n">
        <x:v>169</x:v>
      </x:c>
      <x:c r="E18" s="15" t="n">
        <x:v>1099</x:v>
      </x:c>
      <x:c r="F18" s="15" t="n">
        <x:v>2199</x:v>
      </x:c>
      <x:c r="G18" s="24" t="n">
        <x:v>1699</x:v>
      </x:c>
      <x:c r="H18" s="15" t="n">
        <x:v>5299</x:v>
      </x:c>
      <x:c r="I18" s="15" t="n">
        <x:v>10599</x:v>
      </x:c>
      <x:c r="J18" s="24" t="n">
        <x:f>ROUND(G18*12,2)</x:f>
        <x:v>20388</x:v>
      </x:c>
      <x:c r="K18" s="15" t="n">
        <x:v>549</x:v>
      </x:c>
      <x:c r="L18" s="15" t="n">
        <x:v>279</x:v>
      </x:c>
      <x:c r="M18" s="15" t="n">
        <x:v>389</x:v>
      </x:c>
      <x:c r="N18" s="15" t="n">
        <x:f>'Pass测算'!J3</x:f>
        <x:v>170</x:v>
      </x:c>
      <x:c r="O18" s="13" t="str">
        <x:v>第2组</x:v>
      </x:c>
      <x:c r="P18" s="13" t="str">
        <x:v>Z020</x:v>
      </x:c>
      <x:c r="Q18" s="13" t="str">
        <x:v>已配置</x:v>
      </x:c>
      <x:c r="R18" s="29" t="n">
        <x:v>4399</x:v>
      </x:c>
      <x:c r="S18" s="29" t="n">
        <x:v>20900</x:v>
      </x:c>
    </x:row>
    <x:row r="19" ht="29" customHeight="1">
      <x:c r="A19" s="4" t="str">
        <x:v>埃及</x:v>
      </x:c>
      <x:c r="B19" s="10" t="n">
        <x:v>0.2</x:v>
      </x:c>
      <x:c r="C19" s="13" t="str">
        <x:v>EGP</x:v>
      </x:c>
      <x:c r="D19" s="15" t="n">
        <x:v>29</x:v>
      </x:c>
      <x:c r="E19" s="15" t="n">
        <x:v>209</x:v>
      </x:c>
      <x:c r="F19" s="15" t="n">
        <x:v>429</x:v>
      </x:c>
      <x:c r="G19" s="24" t="n">
        <x:v>319</x:v>
      </x:c>
      <x:c r="H19" s="15" t="n">
        <x:v>999</x:v>
      </x:c>
      <x:c r="I19" s="15" t="n">
        <x:v>2099</x:v>
      </x:c>
      <x:c r="J19" s="24" t="n">
        <x:f>ROUND(G19*12,2)</x:f>
        <x:v>3828</x:v>
      </x:c>
      <x:c r="K19" s="15" t="n">
        <x:v>109</x:v>
      </x:c>
      <x:c r="L19" s="15" t="n">
        <x:v>49</x:v>
      </x:c>
      <x:c r="M19" s="15" t="n">
        <x:v>79</x:v>
      </x:c>
      <x:c r="N19" s="15" t="n">
        <x:f>'Pass测算'!J4</x:f>
        <x:v>32</x:v>
      </x:c>
      <x:c r="O19" s="13" t="str">
        <x:v>第2组</x:v>
      </x:c>
      <x:c r="P19" s="13" t="str">
        <x:v>Z020</x:v>
      </x:c>
      <x:c r="Q19" s="13" t="str">
        <x:v>已配置</x:v>
      </x:c>
      <x:c r="R19" s="29" t="n">
        <x:v>859</x:v>
      </x:c>
      <x:c r="S19" s="29" t="n">
        <x:v>4099</x:v>
      </x:c>
    </x:row>
    <x:row r="20" ht="29" customHeight="1">
      <x:c r="A20" s="4" t="str">
        <x:v>南非</x:v>
      </x:c>
      <x:c r="B20" s="10" t="n">
        <x:v>0.35</x:v>
      </x:c>
      <x:c r="C20" s="13" t="str">
        <x:v>ZAR</x:v>
      </x:c>
      <x:c r="D20" s="12" t="n">
        <x:v>16.99</x:v>
      </x:c>
      <x:c r="E20" s="12" t="n">
        <x:v>114.99</x:v>
      </x:c>
      <x:c r="F20" s="12" t="n">
        <x:v>230.99</x:v>
      </x:c>
      <x:c r="G20" s="23" t="n">
        <x:v>172.99</x:v>
      </x:c>
      <x:c r="H20" s="12" t="n">
        <x:v>552.99</x:v>
      </x:c>
      <x:c r="I20" s="12" t="n">
        <x:v>1105.99</x:v>
      </x:c>
      <x:c r="J20" s="23" t="n">
        <x:f>ROUND(G20*12,2)</x:f>
        <x:v>2075.88</x:v>
      </x:c>
      <x:c r="K20" s="12" t="n">
        <x:v>57.99</x:v>
      </x:c>
      <x:c r="L20" s="12" t="n">
        <x:v>28.99</x:v>
      </x:c>
      <x:c r="M20" s="12" t="n">
        <x:v>39.99</x:v>
      </x:c>
      <x:c r="N20" s="14" t="n">
        <x:f>'Pass测算'!J41</x:f>
        <x:v>9.9</x:v>
      </x:c>
      <x:c r="O20" s="13" t="str">
        <x:v>第2组</x:v>
      </x:c>
      <x:c r="P20" s="13" t="str">
        <x:v>Z035</x:v>
      </x:c>
      <x:c r="Q20" s="13" t="str">
        <x:v>已配置</x:v>
      </x:c>
      <x:c r="R20" s="28" t="n">
        <x:v>460.99</x:v>
      </x:c>
      <x:c r="S20" s="28" t="n">
        <x:v>2212.99</x:v>
      </x:c>
    </x:row>
    <x:row r="21" ht="29" customHeight="1">
      <x:c r="A21" s="16" t="str">
        <x:v>韩国</x:v>
      </x:c>
      <x:c r="B21" s="17" t="n">
        <x:v>0.65</x:v>
      </x:c>
      <x:c r="C21" s="18" t="str">
        <x:v>KRW</x:v>
      </x:c>
      <x:c r="D21" s="19" t="n">
        <x:v>2490</x:v>
      </x:c>
      <x:c r="E21" s="19" t="n">
        <x:v>16900</x:v>
      </x:c>
      <x:c r="F21" s="19" t="n">
        <x:v>34900</x:v>
      </x:c>
      <x:c r="G21" s="25" t="n">
        <x:v>25900</x:v>
      </x:c>
      <x:c r="H21" s="19" t="n">
        <x:v>80900</x:v>
      </x:c>
      <x:c r="I21" s="19" t="n">
        <x:v>166900</x:v>
      </x:c>
      <x:c r="J21" s="25" t="n">
        <x:f>ROUND(G21*12,2)</x:f>
        <x:v>310800</x:v>
      </x:c>
      <x:c r="K21" s="19" t="n">
        <x:v>8690</x:v>
      </x:c>
      <x:c r="L21" s="19" t="n">
        <x:v>4290</x:v>
      </x:c>
      <x:c r="M21" s="19" t="n">
        <x:v>5990</x:v>
      </x:c>
      <x:c r="N21" s="19" t="n">
        <x:f>'Pass测算'!J82</x:f>
        <x:v>840</x:v>
      </x:c>
      <x:c r="O21" s="18" t="str">
        <x:v>第1组</x:v>
      </x:c>
      <x:c r="P21" s="18" t="str">
        <x:v>Z065</x:v>
      </x:c>
      <x:c r="Q21" s="18" t="str">
        <x:v>已配置</x:v>
      </x:c>
      <x:c r="R21" s="29" t="n">
        <x:v>69900</x:v>
      </x:c>
      <x:c r="S21" s="29" t="n">
        <x:v>334900</x:v>
      </x:c>
    </x:row>
    <x:row r="22" ht="29" customHeight="1">
      <x:c r="A22" s="4" t="str">
        <x:v>尼日利亚</x:v>
      </x:c>
      <x:c r="B22" s="10" t="n">
        <x:v>0.2</x:v>
      </x:c>
      <x:c r="C22" s="13" t="str">
        <x:v>NGN</x:v>
      </x:c>
      <x:c r="D22" s="15" t="n">
        <x:v>799</x:v>
      </x:c>
      <x:c r="E22" s="15" t="n">
        <x:v>5299</x:v>
      </x:c>
      <x:c r="F22" s="15" t="n">
        <x:v>10900</x:v>
      </x:c>
      <x:c r="G22" s="24" t="n">
        <x:v>7999</x:v>
      </x:c>
      <x:c r="H22" s="15" t="n">
        <x:v>25900</x:v>
      </x:c>
      <x:c r="I22" s="15" t="n">
        <x:v>51900</x:v>
      </x:c>
      <x:c r="J22" s="24" t="n">
        <x:f>ROUND(G22*12,2)</x:f>
        <x:v>95988</x:v>
      </x:c>
      <x:c r="K22" s="15" t="n">
        <x:v>2699</x:v>
      </x:c>
      <x:c r="L22" s="15" t="n">
        <x:v>1299</x:v>
      </x:c>
      <x:c r="M22" s="15" t="n">
        <x:v>1899</x:v>
      </x:c>
      <x:c r="N22" s="15" t="n">
        <x:f>'Pass测算'!J5</x:f>
        <x:v>800</x:v>
      </x:c>
      <x:c r="O22" s="13" t="str">
        <x:v>第2组</x:v>
      </x:c>
      <x:c r="P22" s="13" t="str">
        <x:v>Z020</x:v>
      </x:c>
      <x:c r="Q22" s="13" t="str">
        <x:v>已配置</x:v>
      </x:c>
      <x:c r="R22" s="29" t="n">
        <x:v>20900</x:v>
      </x:c>
      <x:c r="S22" s="29" t="n">
        <x:v>99000</x:v>
      </x:c>
    </x:row>
    <x:row r="23" ht="29" customHeight="1">
      <x:c r="A23" s="4" t="str">
        <x:v>孟加拉国</x:v>
      </x:c>
      <x:c r="B23" s="10" t="n">
        <x:v>0.2</x:v>
      </x:c>
      <x:c r="C23" s="13" t="str">
        <x:v>BDT</x:v>
      </x:c>
      <x:c r="D23" s="15" t="n">
        <x:v>69</x:v>
      </x:c>
      <x:c r="E23" s="15" t="n">
        <x:v>489</x:v>
      </x:c>
      <x:c r="F23" s="15" t="n">
        <x:v>989</x:v>
      </x:c>
      <x:c r="G23" s="24" t="n">
        <x:v>739</x:v>
      </x:c>
      <x:c r="H23" s="15" t="n">
        <x:v>2399</x:v>
      </x:c>
      <x:c r="I23" s="15" t="n">
        <x:v>4699</x:v>
      </x:c>
      <x:c r="J23" s="24" t="n">
        <x:f>ROUND(G23*12,2)</x:f>
        <x:v>8868</x:v>
      </x:c>
      <x:c r="K23" s="15" t="n">
        <x:v>249</x:v>
      </x:c>
      <x:c r="L23" s="15" t="n">
        <x:v>119</x:v>
      </x:c>
      <x:c r="M23" s="15" t="n">
        <x:v>169</x:v>
      </x:c>
      <x:c r="N23" s="15" t="n">
        <x:f>'Pass测算'!J6</x:f>
        <x:v>74</x:v>
      </x:c>
      <x:c r="O23" s="13" t="str">
        <x:v>第2组</x:v>
      </x:c>
      <x:c r="P23" s="13" t="str">
        <x:v>Z020</x:v>
      </x:c>
      <x:c r="Q23" s="13" t="str">
        <x:v>已配置</x:v>
      </x:c>
      <x:c r="R23" s="29" t="n">
        <x:v>1999</x:v>
      </x:c>
      <x:c r="S23" s="29" t="n">
        <x:v>9399</x:v>
      </x:c>
    </x:row>
    <x:row r="24" ht="29" customHeight="1">
      <x:c r="A24" s="4" t="str">
        <x:v>墨西哥</x:v>
      </x:c>
      <x:c r="B24" s="10" t="n">
        <x:v>0.45</x:v>
      </x:c>
      <x:c r="C24" s="13" t="str">
        <x:v>MXN</x:v>
      </x:c>
      <x:c r="D24" s="12" t="n">
        <x:v>24.99</x:v>
      </x:c>
      <x:c r="E24" s="12" t="n">
        <x:v>165.99</x:v>
      </x:c>
      <x:c r="F24" s="12" t="n">
        <x:v>331.99</x:v>
      </x:c>
      <x:c r="G24" s="23" t="n">
        <x:v>248.99</x:v>
      </x:c>
      <x:c r="H24" s="12" t="n">
        <x:v>796.99</x:v>
      </x:c>
      <x:c r="I24" s="12" t="n">
        <x:v>1594.99</x:v>
      </x:c>
      <x:c r="J24" s="23" t="n">
        <x:f>ROUND(G24*12,2)</x:f>
        <x:v>2987.88</x:v>
      </x:c>
      <x:c r="K24" s="12" t="n">
        <x:v>82.99</x:v>
      </x:c>
      <x:c r="L24" s="12" t="n">
        <x:v>40.99</x:v>
      </x:c>
      <x:c r="M24" s="12" t="n">
        <x:v>57.99</x:v>
      </x:c>
      <x:c r="N24" s="15" t="n">
        <x:f>'Pass测算'!J60</x:f>
        <x:v>12</x:v>
      </x:c>
      <x:c r="O24" s="13" t="str">
        <x:v>第2组</x:v>
      </x:c>
      <x:c r="P24" s="13" t="str">
        <x:v>Z045</x:v>
      </x:c>
      <x:c r="Q24" s="13" t="str">
        <x:v>已配置</x:v>
      </x:c>
      <x:c r="R24" s="28" t="n">
        <x:v>664.99</x:v>
      </x:c>
      <x:c r="S24" s="28" t="n">
        <x:v>3189.99</x:v>
      </x:c>
    </x:row>
    <x:row r="25" ht="29" customHeight="1">
      <x:c r="A25" s="4" t="str">
        <x:v>埃塞俄比亚</x:v>
      </x:c>
      <x:c r="B25" s="10" t="n">
        <x:v>0.2</x:v>
      </x:c>
      <x:c r="C25" s="13" t="str">
        <x:v>ETB</x:v>
      </x:c>
      <x:c r="D25" s="15" t="n">
        <x:v>99</x:v>
      </x:c>
      <x:c r="E25" s="15" t="n">
        <x:v>649</x:v>
      </x:c>
      <x:c r="F25" s="15" t="n">
        <x:v>1299</x:v>
      </x:c>
      <x:c r="G25" s="24" t="n">
        <x:v>969</x:v>
      </x:c>
      <x:c r="H25" s="15" t="n">
        <x:v>3099</x:v>
      </x:c>
      <x:c r="I25" s="15" t="n">
        <x:v>6199</x:v>
      </x:c>
      <x:c r="J25" s="24" t="n">
        <x:f>ROUND(G25*12,2)</x:f>
        <x:v>11628</x:v>
      </x:c>
      <x:c r="K25" s="15" t="n">
        <x:v>319</x:v>
      </x:c>
      <x:c r="L25" s="15" t="n">
        <x:v>159</x:v>
      </x:c>
      <x:c r="M25" s="15" t="n">
        <x:v>229</x:v>
      </x:c>
      <x:c r="N25" s="15" t="n">
        <x:f>'Pass测算'!J7</x:f>
        <x:v>98</x:v>
      </x:c>
      <x:c r="O25" s="13" t="str">
        <x:v>第2组</x:v>
      </x:c>
      <x:c r="P25" s="13" t="str">
        <x:v>Z020</x:v>
      </x:c>
      <x:c r="Q25" s="13" t="str">
        <x:v>已配置</x:v>
      </x:c>
      <x:c r="R25" s="29" t="n">
        <x:v>2599</x:v>
      </x:c>
      <x:c r="S25" s="29" t="n">
        <x:v>12399</x:v>
      </x:c>
    </x:row>
    <x:row r="26" ht="29" customHeight="1">
      <x:c r="A26" s="16" t="str">
        <x:v>德国</x:v>
      </x:c>
      <x:c r="B26" s="17" t="n">
        <x:v>0.8</x:v>
      </x:c>
      <x:c r="C26" s="18" t="str">
        <x:v>EUR</x:v>
      </x:c>
      <x:c r="D26" s="21" t="n">
        <x:v>1.99</x:v>
      </x:c>
      <x:c r="E26" s="21" t="n">
        <x:v>13.99</x:v>
      </x:c>
      <x:c r="F26" s="21" t="n">
        <x:v>27.99</x:v>
      </x:c>
      <x:c r="G26" s="26" t="n">
        <x:v>20.99</x:v>
      </x:c>
      <x:c r="H26" s="21" t="n">
        <x:v>67.99</x:v>
      </x:c>
      <x:c r="I26" s="21" t="n">
        <x:v>136.99</x:v>
      </x:c>
      <x:c r="J26" s="26" t="n">
        <x:f>ROUND(G26*12,2)</x:f>
        <x:v>251.88</x:v>
      </x:c>
      <x:c r="K26" s="21" t="n">
        <x:v>6.99</x:v>
      </x:c>
      <x:c r="L26" s="21" t="n">
        <x:v>3.49</x:v>
      </x:c>
      <x:c r="M26" s="21" t="n">
        <x:v>4.99</x:v>
      </x:c>
      <x:c r="N26" s="20" t="n">
        <x:f>'Pass测算'!J90</x:f>
        <x:v>0.7</x:v>
      </x:c>
      <x:c r="O26" s="18" t="str">
        <x:v>第1组</x:v>
      </x:c>
      <x:c r="P26" s="18" t="str">
        <x:v>Z080</x:v>
      </x:c>
      <x:c r="Q26" s="18" t="str">
        <x:v>已配置</x:v>
      </x:c>
      <x:c r="R26" s="28" t="n">
        <x:v>56.99</x:v>
      </x:c>
      <x:c r="S26" s="28" t="n">
        <x:v>272.99</x:v>
      </x:c>
    </x:row>
    <x:row r="27" ht="29" customHeight="1">
      <x:c r="A27" s="4" t="str">
        <x:v>爱尔兰</x:v>
      </x:c>
      <x:c r="B27" s="10" t="n">
        <x:v>1</x:v>
      </x:c>
      <x:c r="C27" s="13" t="str">
        <x:v>EUR</x:v>
      </x:c>
      <x:c r="D27" s="12" t="n">
        <x:v>2.49</x:v>
      </x:c>
      <x:c r="E27" s="12" t="n">
        <x:v>17.99</x:v>
      </x:c>
      <x:c r="F27" s="12" t="n">
        <x:v>35.99</x:v>
      </x:c>
      <x:c r="G27" s="23" t="n">
        <x:v>26.99</x:v>
      </x:c>
      <x:c r="H27" s="12" t="n">
        <x:v>84.99</x:v>
      </x:c>
      <x:c r="I27" s="12" t="n">
        <x:v>170.99</x:v>
      </x:c>
      <x:c r="J27" s="23" t="n">
        <x:f>ROUND(G27*12,2)</x:f>
        <x:v>323.88</x:v>
      </x:c>
      <x:c r="K27" s="12" t="n">
        <x:v>8.99</x:v>
      </x:c>
      <x:c r="L27" s="12" t="n">
        <x:v>4.49</x:v>
      </x:c>
      <x:c r="M27" s="12" t="n">
        <x:v>5.99</x:v>
      </x:c>
      <x:c r="N27" s="14" t="n">
        <x:f>'Pass测算'!J102</x:f>
        <x:v>0.87</x:v>
      </x:c>
      <x:c r="O27" s="13" t="str">
        <x:v>第2组</x:v>
      </x:c>
      <x:c r="P27" s="13" t="str">
        <x:v>Z100</x:v>
      </x:c>
      <x:c r="Q27" s="13" t="str">
        <x:v>已配置</x:v>
      </x:c>
      <x:c r="R27" s="28" t="n">
        <x:v>70.99</x:v>
      </x:c>
      <x:c r="S27" s="28" t="n">
        <x:v>340.99</x:v>
      </x:c>
    </x:row>
    <x:row r="28" ht="29" customHeight="1">
      <x:c r="A28" s="4" t="str">
        <x:v>日本</x:v>
      </x:c>
      <x:c r="B28" s="10" t="n">
        <x:v>0.65</x:v>
      </x:c>
      <x:c r="C28" s="13" t="str">
        <x:v>JPY</x:v>
      </x:c>
      <x:c r="D28" s="15" t="n">
        <x:v>298</x:v>
      </x:c>
      <x:c r="E28" s="15" t="n">
        <x:v>1980</x:v>
      </x:c>
      <x:c r="F28" s="15" t="n">
        <x:v>3980</x:v>
      </x:c>
      <x:c r="G28" s="24" t="n">
        <x:v>2980</x:v>
      </x:c>
      <x:c r="H28" s="15" t="n">
        <x:v>9480</x:v>
      </x:c>
      <x:c r="I28" s="15" t="n">
        <x:v>18980</x:v>
      </x:c>
      <x:c r="J28" s="24" t="n">
        <x:f>ROUND(G28*12,2)</x:f>
        <x:v>35760</x:v>
      </x:c>
      <x:c r="K28" s="15" t="n">
        <x:v>980</x:v>
      </x:c>
      <x:c r="L28" s="15" t="n">
        <x:v>498</x:v>
      </x:c>
      <x:c r="M28" s="15" t="n">
        <x:v>698</x:v>
      </x:c>
      <x:c r="N28" s="15" t="n">
        <x:f>'Pass测算'!J83</x:f>
        <x:v>99</x:v>
      </x:c>
      <x:c r="O28" s="13" t="str">
        <x:v>第2组</x:v>
      </x:c>
      <x:c r="P28" s="13" t="str">
        <x:v>Z065</x:v>
      </x:c>
      <x:c r="Q28" s="13" t="str">
        <x:v>已配置</x:v>
      </x:c>
      <x:c r="R28" s="29" t="n">
        <x:v>7980</x:v>
      </x:c>
      <x:c r="S28" s="29" t="n">
        <x:v>37980</x:v>
      </x:c>
    </x:row>
    <x:row r="29" ht="29" customHeight="1">
      <x:c r="A29" s="4" t="str">
        <x:v>肯尼亚</x:v>
      </x:c>
      <x:c r="B29" s="10" t="n">
        <x:v>0.25</x:v>
      </x:c>
      <x:c r="C29" s="13" t="str">
        <x:v>KES</x:v>
      </x:c>
      <x:c r="D29" s="15" t="n">
        <x:v>99</x:v>
      </x:c>
      <x:c r="E29" s="15" t="n">
        <x:v>649</x:v>
      </x:c>
      <x:c r="F29" s="15" t="n">
        <x:v>1299</x:v>
      </x:c>
      <x:c r="G29" s="24" t="n">
        <x:v>969</x:v>
      </x:c>
      <x:c r="H29" s="15" t="n">
        <x:v>3099</x:v>
      </x:c>
      <x:c r="I29" s="15" t="n">
        <x:v>6199</x:v>
      </x:c>
      <x:c r="J29" s="24" t="n">
        <x:f>ROUND(G29*12,2)</x:f>
        <x:v>11628</x:v>
      </x:c>
      <x:c r="K29" s="15" t="n">
        <x:v>329</x:v>
      </x:c>
      <x:c r="L29" s="15" t="n">
        <x:v>159</x:v>
      </x:c>
      <x:c r="M29" s="15" t="n">
        <x:v>229</x:v>
      </x:c>
      <x:c r="N29" s="15" t="n">
        <x:f>'Pass测算'!J24</x:f>
        <x:v>78</x:v>
      </x:c>
      <x:c r="O29" s="13" t="str">
        <x:v>第2组</x:v>
      </x:c>
      <x:c r="P29" s="13" t="str">
        <x:v>Z025</x:v>
      </x:c>
      <x:c r="Q29" s="13" t="str">
        <x:v>已配置</x:v>
      </x:c>
      <x:c r="R29" s="29" t="n">
        <x:v>2599</x:v>
      </x:c>
      <x:c r="S29" s="29" t="n">
        <x:v>12499</x:v>
      </x:c>
    </x:row>
    <x:row r="30" ht="29" customHeight="1">
      <x:c r="A30" s="4" t="str">
        <x:v>斯洛文尼亚</x:v>
      </x:c>
      <x:c r="B30" s="10" t="n">
        <x:v>0.6</x:v>
      </x:c>
      <x:c r="C30" s="13" t="str">
        <x:v>EUR</x:v>
      </x:c>
      <x:c r="D30" s="12" t="n">
        <x:v>1.49</x:v>
      </x:c>
      <x:c r="E30" s="12" t="n">
        <x:v>10.99</x:v>
      </x:c>
      <x:c r="F30" s="12" t="n">
        <x:v>20.99</x:v>
      </x:c>
      <x:c r="G30" s="23" t="n">
        <x:v>15.99</x:v>
      </x:c>
      <x:c r="H30" s="12" t="n">
        <x:v>51.99</x:v>
      </x:c>
      <x:c r="I30" s="12" t="n">
        <x:v>101.99</x:v>
      </x:c>
      <x:c r="J30" s="23" t="n">
        <x:f>ROUND(G30*12,2)</x:f>
        <x:v>191.88</x:v>
      </x:c>
      <x:c r="K30" s="12" t="n">
        <x:v>5.49</x:v>
      </x:c>
      <x:c r="L30" s="12" t="n">
        <x:v>2.49</x:v>
      </x:c>
      <x:c r="M30" s="12" t="n">
        <x:v>3.49</x:v>
      </x:c>
      <x:c r="N30" s="14" t="n">
        <x:f>'Pass测算'!J78</x:f>
        <x:v>0.53</x:v>
      </x:c>
      <x:c r="O30" s="13" t="str">
        <x:v>第2组</x:v>
      </x:c>
      <x:c r="P30" s="13" t="str">
        <x:v>Z060</x:v>
      </x:c>
      <x:c r="Q30" s="13" t="str">
        <x:v>已配置</x:v>
      </x:c>
      <x:c r="R30" s="28" t="n">
        <x:v>42.99</x:v>
      </x:c>
      <x:c r="S30" s="28" t="n">
        <x:v>204.99</x:v>
      </x:c>
    </x:row>
    <x:row r="31" ht="29" customHeight="1">
      <x:c r="A31" s="4" t="str">
        <x:v>阿尔及利亚</x:v>
      </x:c>
      <x:c r="B31" s="10" t="n">
        <x:v>0.3</x:v>
      </x:c>
      <x:c r="C31" s="13" t="str">
        <x:v>DZD</x:v>
      </x:c>
      <x:c r="D31" s="15" t="n">
        <x:v>119</x:v>
      </x:c>
      <x:c r="E31" s="15" t="n">
        <x:v>809</x:v>
      </x:c>
      <x:c r="F31" s="15" t="n">
        <x:v>1599</x:v>
      </x:c>
      <x:c r="G31" s="24" t="n">
        <x:v>1199</x:v>
      </x:c>
      <x:c r="H31" s="15" t="n">
        <x:v>3899</x:v>
      </x:c>
      <x:c r="I31" s="15" t="n">
        <x:v>7699</x:v>
      </x:c>
      <x:c r="J31" s="24" t="n">
        <x:f>ROUND(G31*12,2)</x:f>
        <x:v>14388</x:v>
      </x:c>
      <x:c r="K31" s="15" t="n">
        <x:v>399</x:v>
      </x:c>
      <x:c r="L31" s="15" t="n">
        <x:v>199</x:v>
      </x:c>
      <x:c r="M31" s="15" t="n">
        <x:v>279</x:v>
      </x:c>
      <x:c r="N31" s="15" t="n">
        <x:f>'Pass测算'!J32</x:f>
        <x:v>81</x:v>
      </x:c>
      <x:c r="O31" s="13" t="str">
        <x:v>第2组</x:v>
      </x:c>
      <x:c r="P31" s="13" t="str">
        <x:v>Z030</x:v>
      </x:c>
      <x:c r="Q31" s="13" t="str">
        <x:v>已配置</x:v>
      </x:c>
      <x:c r="R31" s="29" t="n">
        <x:v>3199</x:v>
      </x:c>
      <x:c r="S31" s="29" t="n">
        <x:v>15499</x:v>
      </x:c>
    </x:row>
    <x:row r="32" ht="29" customHeight="1">
      <x:c r="A32" s="4" t="str">
        <x:v>厄瓜多尔</x:v>
      </x:c>
      <x:c r="B32" s="10" t="n">
        <x:v>0.35</x:v>
      </x:c>
      <x:c r="C32" s="13" t="str">
        <x:v>USD</x:v>
      </x:c>
      <x:c r="D32" s="12" t="n">
        <x:v>0.99</x:v>
      </x:c>
      <x:c r="E32" s="12" t="n">
        <x:v>6.99</x:v>
      </x:c>
      <x:c r="F32" s="12" t="n">
        <x:v>13.99</x:v>
      </x:c>
      <x:c r="G32" s="23" t="n">
        <x:v>10.99</x:v>
      </x:c>
      <x:c r="H32" s="12" t="n">
        <x:v>33.99</x:v>
      </x:c>
      <x:c r="I32" s="12" t="n">
        <x:v>66.99</x:v>
      </x:c>
      <x:c r="J32" s="23" t="n">
        <x:f>ROUND(G32*12,2)</x:f>
        <x:v>131.88</x:v>
      </x:c>
      <x:c r="K32" s="12" t="n">
        <x:v>3.49</x:v>
      </x:c>
      <x:c r="L32" s="12" t="n">
        <x:v>1.79</x:v>
      </x:c>
      <x:c r="M32" s="12" t="n">
        <x:v>2.49</x:v>
      </x:c>
      <x:c r="N32" s="14" t="n">
        <x:f>'Pass测算'!J42</x:f>
        <x:v>0.6</x:v>
      </x:c>
      <x:c r="O32" s="13" t="str">
        <x:v>第2组</x:v>
      </x:c>
      <x:c r="P32" s="13" t="str">
        <x:v>Z035</x:v>
      </x:c>
      <x:c r="Q32" s="13" t="str">
        <x:v>已配置</x:v>
      </x:c>
      <x:c r="R32" s="28" t="n">
        <x:v>27.99</x:v>
      </x:c>
      <x:c r="S32" s="28" t="n">
        <x:v>133.99</x:v>
      </x:c>
    </x:row>
    <x:row r="33" ht="29" customHeight="1">
      <x:c r="A33" s="4" t="str">
        <x:v>中国澳门</x:v>
      </x:c>
      <x:c r="B33" s="10" t="n">
        <x:v>0.8</x:v>
      </x:c>
      <x:c r="C33" s="13" t="str">
        <x:v>MOP</x:v>
      </x:c>
      <x:c r="D33" s="15" t="n">
        <x:v>19</x:v>
      </x:c>
      <x:c r="E33" s="15" t="n">
        <x:v>129</x:v>
      </x:c>
      <x:c r="F33" s="15" t="n">
        <x:v>259</x:v>
      </x:c>
      <x:c r="G33" s="24" t="n">
        <x:v>199</x:v>
      </x:c>
      <x:c r="H33" s="15" t="n">
        <x:v>619</x:v>
      </x:c>
      <x:c r="I33" s="15" t="n">
        <x:v>1249</x:v>
      </x:c>
      <x:c r="J33" s="24" t="n">
        <x:f>ROUND(G33*12,2)</x:f>
        <x:v>2388</x:v>
      </x:c>
      <x:c r="K33" s="15" t="n">
        <x:v>65</x:v>
      </x:c>
      <x:c r="L33" s="15" t="n">
        <x:v>32</x:v>
      </x:c>
      <x:c r="M33" s="15" t="n">
        <x:v>45</x:v>
      </x:c>
      <x:c r="N33" s="14" t="n">
        <x:f>'Pass测算'!J91</x:f>
        <x:v>6.4</x:v>
      </x:c>
      <x:c r="O33" s="13" t="str">
        <x:v>第2组</x:v>
      </x:c>
      <x:c r="P33" s="13" t="str">
        <x:v>Z080</x:v>
      </x:c>
      <x:c r="Q33" s="13" t="str">
        <x:v>已配置</x:v>
      </x:c>
      <x:c r="R33" s="29" t="n">
        <x:v>519</x:v>
      </x:c>
      <x:c r="S33" s="29" t="n">
        <x:v>2489</x:v>
      </x:c>
    </x:row>
    <x:row r="34" ht="29" customHeight="1">
      <x:c r="A34" s="4" t="str">
        <x:v>新西兰</x:v>
      </x:c>
      <x:c r="B34" s="10" t="n">
        <x:v>0.85</x:v>
      </x:c>
      <x:c r="C34" s="13" t="str">
        <x:v>NZD</x:v>
      </x:c>
      <x:c r="D34" s="12" t="n">
        <x:v>4.49</x:v>
      </x:c>
      <x:c r="E34" s="12" t="n">
        <x:v>29.99</x:v>
      </x:c>
      <x:c r="F34" s="12" t="n">
        <x:v>59.99</x:v>
      </x:c>
      <x:c r="G34" s="23" t="n">
        <x:v>44.99</x:v>
      </x:c>
      <x:c r="H34" s="12" t="n">
        <x:v>143.99</x:v>
      </x:c>
      <x:c r="I34" s="12" t="n">
        <x:v>287.99</x:v>
      </x:c>
      <x:c r="J34" s="23" t="n">
        <x:f>ROUND(G34*12,2)</x:f>
        <x:v>539.88</x:v>
      </x:c>
      <x:c r="K34" s="12" t="n">
        <x:v>14.99</x:v>
      </x:c>
      <x:c r="L34" s="12" t="n">
        <x:v>7.49</x:v>
      </x:c>
      <x:c r="M34" s="12" t="n">
        <x:v>10.99</x:v>
      </x:c>
      <x:c r="N34" s="14" t="n">
        <x:f>'Pass测算'!J93</x:f>
        <x:v>1.5</x:v>
      </x:c>
      <x:c r="O34" s="13" t="str">
        <x:v>第2组</x:v>
      </x:c>
      <x:c r="P34" s="13" t="str">
        <x:v>Z085</x:v>
      </x:c>
      <x:c r="Q34" s="13" t="str">
        <x:v>已配置</x:v>
      </x:c>
      <x:c r="R34" s="28" t="n">
        <x:v>119.99</x:v>
      </x:c>
      <x:c r="S34" s="28" t="n">
        <x:v>576.99</x:v>
      </x:c>
    </x:row>
    <x:row r="35" ht="29" customHeight="1">
      <x:c r="A35" s="4" t="str">
        <x:v>荷兰</x:v>
      </x:c>
      <x:c r="B35" s="10" t="n">
        <x:v>0.85</x:v>
      </x:c>
      <x:c r="C35" s="13" t="str">
        <x:v>EUR</x:v>
      </x:c>
      <x:c r="D35" s="12" t="n">
        <x:v>2.29</x:v>
      </x:c>
      <x:c r="E35" s="12" t="n">
        <x:v>14.99</x:v>
      </x:c>
      <x:c r="F35" s="12" t="n">
        <x:v>29.99</x:v>
      </x:c>
      <x:c r="G35" s="23" t="n">
        <x:v>22.99</x:v>
      </x:c>
      <x:c r="H35" s="12" t="n">
        <x:v>71.99</x:v>
      </x:c>
      <x:c r="I35" s="12" t="n">
        <x:v>144.99</x:v>
      </x:c>
      <x:c r="J35" s="23" t="n">
        <x:f>ROUND(G35*12,2)</x:f>
        <x:v>275.88</x:v>
      </x:c>
      <x:c r="K35" s="12" t="n">
        <x:v>7.49</x:v>
      </x:c>
      <x:c r="L35" s="12" t="n">
        <x:v>3.99</x:v>
      </x:c>
      <x:c r="M35" s="12" t="n">
        <x:v>5.49</x:v>
      </x:c>
      <x:c r="N35" s="14" t="n">
        <x:f>'Pass测算'!J94</x:f>
        <x:v>0.74</x:v>
      </x:c>
      <x:c r="O35" s="13" t="str">
        <x:v>第2组</x:v>
      </x:c>
      <x:c r="P35" s="13" t="str">
        <x:v>Z085</x:v>
      </x:c>
      <x:c r="Q35" s="13" t="str">
        <x:v>已配置</x:v>
      </x:c>
      <x:c r="R35" s="28" t="n">
        <x:v>59.99</x:v>
      </x:c>
      <x:c r="S35" s="28" t="n">
        <x:v>289.99</x:v>
      </x:c>
    </x:row>
    <x:row r="36" ht="29" customHeight="1">
      <x:c r="A36" s="4" t="str">
        <x:v>突尼斯</x:v>
      </x:c>
      <x:c r="B36" s="10" t="n">
        <x:v>0.25</x:v>
      </x:c>
      <x:c r="C36" s="13" t="str">
        <x:v>USD</x:v>
      </x:c>
      <x:c r="D36" s="12" t="n">
        <x:v>0.79</x:v>
      </x:c>
      <x:c r="E36" s="12" t="n">
        <x:v>4.99</x:v>
      </x:c>
      <x:c r="F36" s="12" t="n">
        <x:v>9.99</x:v>
      </x:c>
      <x:c r="G36" s="23" t="n">
        <x:v>7.49</x:v>
      </x:c>
      <x:c r="H36" s="12" t="n">
        <x:v>23.99</x:v>
      </x:c>
      <x:c r="I36" s="12" t="n">
        <x:v>47.99</x:v>
      </x:c>
      <x:c r="J36" s="23" t="n">
        <x:f>ROUND(G36*12,2)</x:f>
        <x:v>89.88</x:v>
      </x:c>
      <x:c r="K36" s="12" t="n">
        <x:v>2.49</x:v>
      </x:c>
      <x:c r="L36" s="12" t="n">
        <x:v>1.29</x:v>
      </x:c>
      <x:c r="M36" s="12" t="n">
        <x:v>1.79</x:v>
      </x:c>
      <x:c r="N36" s="14" t="n">
        <x:f>'Pass测算'!J27</x:f>
        <x:v>0.6</x:v>
      </x:c>
      <x:c r="O36" s="13" t="str">
        <x:v>第2组</x:v>
      </x:c>
      <x:c r="P36" s="13" t="str">
        <x:v>Z025</x:v>
      </x:c>
      <x:c r="Q36" s="13" t="str">
        <x:v>USD替代已配置</x:v>
      </x:c>
      <x:c r="R36" s="28"/>
      <x:c r="S36" s="28"/>
    </x:row>
    <x:row r="37" ht="29" customHeight="1">
      <x:c r="A37" s="4" t="str">
        <x:v>博茨瓦纳</x:v>
      </x:c>
      <x:c r="B37" s="10" t="n">
        <x:v>0.35</x:v>
      </x:c>
      <x:c r="C37" s="13" t="str">
        <x:v>BWP</x:v>
      </x:c>
      <x:c r="D37" s="12" t="n">
        <x:v>14.99</x:v>
      </x:c>
      <x:c r="E37" s="12" t="n">
        <x:v>97.99</x:v>
      </x:c>
      <x:c r="F37" s="12" t="n">
        <x:v>195.99</x:v>
      </x:c>
      <x:c r="G37" s="23" t="n">
        <x:v>146.99</x:v>
      </x:c>
      <x:c r="H37" s="12" t="n">
        <x:v>470.99</x:v>
      </x:c>
      <x:c r="I37" s="12" t="n">
        <x:v>942.99</x:v>
      </x:c>
      <x:c r="J37" s="23" t="n">
        <x:f>ROUND(G37*12,2)</x:f>
        <x:v>1763.88</x:v>
      </x:c>
      <x:c r="K37" s="12" t="n">
        <x:v>48.99</x:v>
      </x:c>
      <x:c r="L37" s="12" t="n">
        <x:v>24.99</x:v>
      </x:c>
      <x:c r="M37" s="12" t="n">
        <x:v>33.99</x:v>
      </x:c>
      <x:c r="N37" s="14" t="n">
        <x:f>'Pass测算'!J43</x:f>
        <x:v>8.5</x:v>
      </x:c>
      <x:c r="O37" s="13" t="str">
        <x:v>第2组</x:v>
      </x:c>
      <x:c r="P37" s="13" t="str">
        <x:v>Z035</x:v>
      </x:c>
      <x:c r="Q37" s="13" t="str">
        <x:v>已配置</x:v>
      </x:c>
      <x:c r="R37" s="28" t="n">
        <x:v>392.99</x:v>
      </x:c>
      <x:c r="S37" s="28" t="n">
        <x:v>1885.99</x:v>
      </x:c>
    </x:row>
    <x:row r="38" ht="29" customHeight="1">
      <x:c r="A38" s="4" t="str">
        <x:v>加纳</x:v>
      </x:c>
      <x:c r="B38" s="10" t="n">
        <x:v>0.25</x:v>
      </x:c>
      <x:c r="C38" s="13" t="str">
        <x:v>USD</x:v>
      </x:c>
      <x:c r="D38" s="12" t="n">
        <x:v>0.79</x:v>
      </x:c>
      <x:c r="E38" s="12" t="n">
        <x:v>4.99</x:v>
      </x:c>
      <x:c r="F38" s="12" t="n">
        <x:v>9.99</x:v>
      </x:c>
      <x:c r="G38" s="23" t="n">
        <x:v>7.49</x:v>
      </x:c>
      <x:c r="H38" s="12" t="n">
        <x:v>23.99</x:v>
      </x:c>
      <x:c r="I38" s="12" t="n">
        <x:v>47.99</x:v>
      </x:c>
      <x:c r="J38" s="23" t="n">
        <x:f>ROUND(G38*12,2)</x:f>
        <x:v>89.88</x:v>
      </x:c>
      <x:c r="K38" s="12" t="n">
        <x:v>2.49</x:v>
      </x:c>
      <x:c r="L38" s="12" t="n">
        <x:v>1.29</x:v>
      </x:c>
      <x:c r="M38" s="12" t="n">
        <x:v>1.79</x:v>
      </x:c>
      <x:c r="N38" s="14" t="n">
        <x:f>'Pass测算'!J27</x:f>
        <x:v>0.6</x:v>
      </x:c>
      <x:c r="O38" s="13" t="str">
        <x:v>第2组</x:v>
      </x:c>
      <x:c r="P38" s="13" t="str">
        <x:v>Z025</x:v>
      </x:c>
      <x:c r="Q38" s="13" t="str">
        <x:v>USD替代已配置</x:v>
      </x:c>
      <x:c r="R38" s="28"/>
      <x:c r="S38" s="28"/>
    </x:row>
    <x:row r="39" ht="29" customHeight="1">
      <x:c r="A39" s="16" t="str">
        <x:v>意大利</x:v>
      </x:c>
      <x:c r="B39" s="17" t="n">
        <x:v>0.7</x:v>
      </x:c>
      <x:c r="C39" s="18" t="str">
        <x:v>EUR</x:v>
      </x:c>
      <x:c r="D39" s="21" t="n">
        <x:v>1.99</x:v>
      </x:c>
      <x:c r="E39" s="21" t="n">
        <x:v>11.99</x:v>
      </x:c>
      <x:c r="F39" s="21" t="n">
        <x:v>24.99</x:v>
      </x:c>
      <x:c r="G39" s="26" t="n">
        <x:v>18.99</x:v>
      </x:c>
      <x:c r="H39" s="21" t="n">
        <x:v>58.99</x:v>
      </x:c>
      <x:c r="I39" s="21" t="n">
        <x:v>118.99</x:v>
      </x:c>
      <x:c r="J39" s="26" t="n">
        <x:f>ROUND(G39*12,2)</x:f>
        <x:v>227.88</x:v>
      </x:c>
      <x:c r="K39" s="21" t="n">
        <x:v>5.99</x:v>
      </x:c>
      <x:c r="L39" s="21" t="n">
        <x:v>2.99</x:v>
      </x:c>
      <x:c r="M39" s="21" t="n">
        <x:v>4.49</x:v>
      </x:c>
      <x:c r="N39" s="20" t="n">
        <x:f>'Pass测算'!J86</x:f>
        <x:v>0.61</x:v>
      </x:c>
      <x:c r="O39" s="18" t="str">
        <x:v>第1组</x:v>
      </x:c>
      <x:c r="P39" s="18" t="str">
        <x:v>Z070</x:v>
      </x:c>
      <x:c r="Q39" s="18" t="str">
        <x:v>已配置</x:v>
      </x:c>
      <x:c r="R39" s="28" t="n">
        <x:v>49.99</x:v>
      </x:c>
      <x:c r="S39" s="28" t="n">
        <x:v>238.99</x:v>
      </x:c>
    </x:row>
    <x:row r="40" ht="29" customHeight="1">
      <x:c r="A40" s="4" t="str">
        <x:v>牙买加</x:v>
      </x:c>
      <x:c r="B40" s="10" t="n">
        <x:v>0.4</x:v>
      </x:c>
      <x:c r="C40" s="13" t="str">
        <x:v>JMD</x:v>
      </x:c>
      <x:c r="D40" s="15" t="n">
        <x:v>189</x:v>
      </x:c>
      <x:c r="E40" s="15" t="n">
        <x:v>1299</x:v>
      </x:c>
      <x:c r="F40" s="15" t="n">
        <x:v>2499</x:v>
      </x:c>
      <x:c r="G40" s="24" t="n">
        <x:v>1899</x:v>
      </x:c>
      <x:c r="H40" s="15" t="n">
        <x:v>6099</x:v>
      </x:c>
      <x:c r="I40" s="15" t="n">
        <x:v>11900</x:v>
      </x:c>
      <x:c r="J40" s="24" t="n">
        <x:f>ROUND(G40*12,2)</x:f>
        <x:v>22788</x:v>
      </x:c>
      <x:c r="K40" s="15" t="n">
        <x:v>629</x:v>
      </x:c>
      <x:c r="L40" s="15" t="n">
        <x:v>319</x:v>
      </x:c>
      <x:c r="M40" s="15" t="n">
        <x:v>439</x:v>
      </x:c>
      <x:c r="N40" s="15" t="n">
        <x:f>'Pass测算'!J52</x:f>
        <x:v>98</x:v>
      </x:c>
      <x:c r="O40" s="13" t="str">
        <x:v>第2组</x:v>
      </x:c>
      <x:c r="P40" s="13" t="str">
        <x:v>Z040</x:v>
      </x:c>
      <x:c r="Q40" s="13" t="str">
        <x:v>已配置</x:v>
      </x:c>
      <x:c r="R40" s="29" t="n">
        <x:v>5099</x:v>
      </x:c>
      <x:c r="S40" s="29" t="n">
        <x:v>23900</x:v>
      </x:c>
    </x:row>
    <x:row r="41" ht="29" customHeight="1">
      <x:c r="A41" s="4" t="str">
        <x:v>中国大陆</x:v>
      </x:c>
      <x:c r="B41" s="10" t="n">
        <x:v>0.45</x:v>
      </x:c>
      <x:c r="C41" s="13" t="str">
        <x:v>CNY</x:v>
      </x:c>
      <x:c r="D41" s="12" t="n">
        <x:v>8.99</x:v>
      </x:c>
      <x:c r="E41" s="12" t="n">
        <x:v>59.99</x:v>
      </x:c>
      <x:c r="F41" s="12" t="n">
        <x:v>120.99</x:v>
      </x:c>
      <x:c r="G41" s="23" t="n">
        <x:v>89.99</x:v>
      </x:c>
      <x:c r="H41" s="12" t="n">
        <x:v>288.99</x:v>
      </x:c>
      <x:c r="I41" s="12" t="n">
        <x:v>577.99</x:v>
      </x:c>
      <x:c r="J41" s="23" t="n">
        <x:f>ROUND(G41*12,2)</x:f>
        <x:v>1079.88</x:v>
      </x:c>
      <x:c r="K41" s="12" t="n">
        <x:v>29.99</x:v>
      </x:c>
      <x:c r="L41" s="12" t="n">
        <x:v>14.99</x:v>
      </x:c>
      <x:c r="M41" s="12" t="n">
        <x:v>20.99</x:v>
      </x:c>
      <x:c r="N41" s="14" t="n">
        <x:f>'Pass测算'!J61</x:f>
        <x:v>4.1</x:v>
      </x:c>
      <x:c r="O41" s="13" t="str">
        <x:v>第2组</x:v>
      </x:c>
      <x:c r="P41" s="13" t="str">
        <x:v>Z045</x:v>
      </x:c>
      <x:c r="Q41" s="13" t="str">
        <x:v>已配置</x:v>
      </x:c>
      <x:c r="R41" s="28" t="n">
        <x:v>240.99</x:v>
      </x:c>
      <x:c r="S41" s="28" t="n">
        <x:v>1156.99</x:v>
      </x:c>
    </x:row>
    <x:row r="42" ht="29" customHeight="1">
      <x:c r="A42" s="4" t="str">
        <x:v>马拉维</x:v>
      </x:c>
      <x:c r="B42" s="10" t="n">
        <x:v>0.2</x:v>
      </x:c>
      <x:c r="C42" s="13" t="str">
        <x:v>MWK</x:v>
      </x:c>
      <x:c r="D42" s="15" t="n">
        <x:v>999</x:v>
      </x:c>
      <x:c r="E42" s="15" t="n">
        <x:v>6999</x:v>
      </x:c>
      <x:c r="F42" s="15" t="n">
        <x:v>13900</x:v>
      </x:c>
      <x:c r="G42" s="24" t="n">
        <x:v>10900</x:v>
      </x:c>
      <x:c r="H42" s="15" t="n">
        <x:v>33900</x:v>
      </x:c>
      <x:c r="I42" s="15" t="n">
        <x:v>66900</x:v>
      </x:c>
      <x:c r="J42" s="24" t="n">
        <x:f>ROUND(G42*12,2)</x:f>
        <x:v>130800</x:v>
      </x:c>
      <x:c r="K42" s="15" t="n">
        <x:v>3499</x:v>
      </x:c>
      <x:c r="L42" s="15" t="n">
        <x:v>1699</x:v>
      </x:c>
      <x:c r="M42" s="15" t="n">
        <x:v>2399</x:v>
      </x:c>
      <x:c r="N42" s="15" t="n">
        <x:f>'Pass测算'!J8</x:f>
        <x:v>1100</x:v>
      </x:c>
      <x:c r="O42" s="13" t="str">
        <x:v>第2组</x:v>
      </x:c>
      <x:c r="P42" s="13" t="str">
        <x:v>Z020</x:v>
      </x:c>
      <x:c r="Q42" s="13" t="str">
        <x:v>已配置</x:v>
      </x:c>
      <x:c r="R42" s="29" t="n">
        <x:v>27900</x:v>
      </x:c>
      <x:c r="S42" s="29" t="n">
        <x:v>133900</x:v>
      </x:c>
    </x:row>
    <x:row r="43" ht="29" customHeight="1">
      <x:c r="A43" s="4" t="str">
        <x:v>摩洛哥</x:v>
      </x:c>
      <x:c r="B43" s="10" t="n">
        <x:v>0.3</x:v>
      </x:c>
      <x:c r="C43" s="13" t="str">
        <x:v>MAD</x:v>
      </x:c>
      <x:c r="D43" s="12" t="n">
        <x:v>8.99</x:v>
      </x:c>
      <x:c r="E43" s="12" t="n">
        <x:v>58.99</x:v>
      </x:c>
      <x:c r="F43" s="12" t="n">
        <x:v>117.99</x:v>
      </x:c>
      <x:c r="G43" s="23" t="n">
        <x:v>87.99</x:v>
      </x:c>
      <x:c r="H43" s="12" t="n">
        <x:v>281.99</x:v>
      </x:c>
      <x:c r="I43" s="12" t="n">
        <x:v>564.99</x:v>
      </x:c>
      <x:c r="J43" s="23" t="n">
        <x:f>ROUND(G43*12,2)</x:f>
        <x:v>1055.88</x:v>
      </x:c>
      <x:c r="K43" s="12" t="n">
        <x:v>28.99</x:v>
      </x:c>
      <x:c r="L43" s="12" t="n">
        <x:v>14.99</x:v>
      </x:c>
      <x:c r="M43" s="12" t="n">
        <x:v>20.99</x:v>
      </x:c>
      <x:c r="N43" s="15" t="n">
        <x:f>'Pass测算'!J33</x:f>
        <x:v>6</x:v>
      </x:c>
      <x:c r="O43" s="13" t="str">
        <x:v>第2组</x:v>
      </x:c>
      <x:c r="P43" s="13" t="str">
        <x:v>Z030</x:v>
      </x:c>
      <x:c r="Q43" s="13" t="str">
        <x:v>已配置</x:v>
      </x:c>
      <x:c r="R43" s="28" t="n">
        <x:v>234.99</x:v>
      </x:c>
      <x:c r="S43" s="28" t="n">
        <x:v>1128.99</x:v>
      </x:c>
    </x:row>
    <x:row r="44" ht="29" customHeight="1">
      <x:c r="A44" s="4" t="str">
        <x:v>纳米比亚</x:v>
      </x:c>
      <x:c r="B44" s="10" t="n">
        <x:v>0.3</x:v>
      </x:c>
      <x:c r="C44" s="13" t="str">
        <x:v>NAD</x:v>
      </x:c>
      <x:c r="D44" s="12" t="n">
        <x:v>14.99</x:v>
      </x:c>
      <x:c r="E44" s="12" t="n">
        <x:v>98.99</x:v>
      </x:c>
      <x:c r="F44" s="12" t="n">
        <x:v>197.99</x:v>
      </x:c>
      <x:c r="G44" s="23" t="n">
        <x:v>147.99</x:v>
      </x:c>
      <x:c r="H44" s="12" t="n">
        <x:v>473.99</x:v>
      </x:c>
      <x:c r="I44" s="12" t="n">
        <x:v>947.99</x:v>
      </x:c>
      <x:c r="J44" s="23" t="n">
        <x:f>ROUND(G44*12,2)</x:f>
        <x:v>1775.88</x:v>
      </x:c>
      <x:c r="K44" s="12" t="n">
        <x:v>48.99</x:v>
      </x:c>
      <x:c r="L44" s="12" t="n">
        <x:v>24.99</x:v>
      </x:c>
      <x:c r="M44" s="12" t="n">
        <x:v>34.99</x:v>
      </x:c>
      <x:c r="N44" s="15" t="n">
        <x:f>'Pass测算'!J34</x:f>
        <x:v>10</x:v>
      </x:c>
      <x:c r="O44" s="13" t="str">
        <x:v>第2组</x:v>
      </x:c>
      <x:c r="P44" s="13" t="str">
        <x:v>Z030</x:v>
      </x:c>
      <x:c r="Q44" s="13" t="str">
        <x:v>已配置</x:v>
      </x:c>
      <x:c r="R44" s="28" t="n">
        <x:v>394.99</x:v>
      </x:c>
      <x:c r="S44" s="28" t="n">
        <x:v>1896.99</x:v>
      </x:c>
    </x:row>
    <x:row r="45" ht="29" customHeight="1">
      <x:c r="A45" s="4" t="str">
        <x:v>秘鲁</x:v>
      </x:c>
      <x:c r="B45" s="10" t="n">
        <x:v>0.4</x:v>
      </x:c>
      <x:c r="C45" s="13" t="str">
        <x:v>PEN</x:v>
      </x:c>
      <x:c r="D45" s="12" t="n">
        <x:v>3.99</x:v>
      </x:c>
      <x:c r="E45" s="12" t="n">
        <x:v>26.99</x:v>
      </x:c>
      <x:c r="F45" s="12" t="n">
        <x:v>54.99</x:v>
      </x:c>
      <x:c r="G45" s="23" t="n">
        <x:v>40.99</x:v>
      </x:c>
      <x:c r="H45" s="12" t="n">
        <x:v>131.99</x:v>
      </x:c>
      <x:c r="I45" s="12" t="n">
        <x:v>263.99</x:v>
      </x:c>
      <x:c r="J45" s="23" t="n">
        <x:f>ROUND(G45*12,2)</x:f>
        <x:v>491.88</x:v>
      </x:c>
      <x:c r="K45" s="12" t="n">
        <x:v>13.99</x:v>
      </x:c>
      <x:c r="L45" s="12" t="n">
        <x:v>6.99</x:v>
      </x:c>
      <x:c r="M45" s="12" t="n">
        <x:v>9.49</x:v>
      </x:c>
      <x:c r="N45" s="14" t="n">
        <x:f>'Pass测算'!J53</x:f>
        <x:v>2.1</x:v>
      </x:c>
      <x:c r="O45" s="13" t="str">
        <x:v>第2组</x:v>
      </x:c>
      <x:c r="P45" s="13" t="str">
        <x:v>Z040</x:v>
      </x:c>
      <x:c r="Q45" s="13" t="str">
        <x:v>已配置</x:v>
      </x:c>
      <x:c r="R45" s="28" t="n">
        <x:v>109.99</x:v>
      </x:c>
      <x:c r="S45" s="28" t="n">
        <x:v>526.99</x:v>
      </x:c>
    </x:row>
    <x:row r="46" ht="29" customHeight="1">
      <x:c r="A46" s="4" t="str">
        <x:v>乌克兰</x:v>
      </x:c>
      <x:c r="B46" s="10" t="n">
        <x:v>0.25</x:v>
      </x:c>
      <x:c r="C46" s="13" t="str">
        <x:v>UAH</x:v>
      </x:c>
      <x:c r="D46" s="15" t="n">
        <x:v>34</x:v>
      </x:c>
      <x:c r="E46" s="15" t="n">
        <x:v>229</x:v>
      </x:c>
      <x:c r="F46" s="15" t="n">
        <x:v>449</x:v>
      </x:c>
      <x:c r="G46" s="24" t="n">
        <x:v>339</x:v>
      </x:c>
      <x:c r="H46" s="15" t="n">
        <x:v>1099</x:v>
      </x:c>
      <x:c r="I46" s="15" t="n">
        <x:v>2199</x:v>
      </x:c>
      <x:c r="J46" s="24" t="n">
        <x:f>ROUND(G46*12,2)</x:f>
        <x:v>4068</x:v>
      </x:c>
      <x:c r="K46" s="15" t="n">
        <x:v>109</x:v>
      </x:c>
      <x:c r="L46" s="15" t="n">
        <x:v>59</x:v>
      </x:c>
      <x:c r="M46" s="15" t="n">
        <x:v>79</x:v>
      </x:c>
      <x:c r="N46" s="15" t="n">
        <x:f>'Pass测算'!J25</x:f>
        <x:v>28</x:v>
      </x:c>
      <x:c r="O46" s="13" t="str">
        <x:v>第2组</x:v>
      </x:c>
      <x:c r="P46" s="13" t="str">
        <x:v>Z025</x:v>
      </x:c>
      <x:c r="Q46" s="13" t="str">
        <x:v>已配置</x:v>
      </x:c>
      <x:c r="R46" s="29" t="n">
        <x:v>899</x:v>
      </x:c>
      <x:c r="S46" s="29" t="n">
        <x:v>4299</x:v>
      </x:c>
    </x:row>
    <x:row r="47" ht="29" customHeight="1">
      <x:c r="A47" s="4" t="str">
        <x:v>阿联酋</x:v>
      </x:c>
      <x:c r="B47" s="10" t="n">
        <x:v>0.75</x:v>
      </x:c>
      <x:c r="C47" s="13" t="str">
        <x:v>AED</x:v>
      </x:c>
      <x:c r="D47" s="12" t="n">
        <x:v>7.99</x:v>
      </x:c>
      <x:c r="E47" s="12" t="n">
        <x:v>54.99</x:v>
      </x:c>
      <x:c r="F47" s="12" t="n">
        <x:v>109.99</x:v>
      </x:c>
      <x:c r="G47" s="23" t="n">
        <x:v>82.99</x:v>
      </x:c>
      <x:c r="H47" s="12" t="n">
        <x:v>263.99</x:v>
      </x:c>
      <x:c r="I47" s="12" t="n">
        <x:v>528.99</x:v>
      </x:c>
      <x:c r="J47" s="23" t="n">
        <x:f>ROUND(G47*12,2)</x:f>
        <x:v>995.88</x:v>
      </x:c>
      <x:c r="K47" s="12" t="n">
        <x:v>27.99</x:v>
      </x:c>
      <x:c r="L47" s="12" t="n">
        <x:v>13.99</x:v>
      </x:c>
      <x:c r="M47" s="12" t="n">
        <x:v>18.99</x:v>
      </x:c>
      <x:c r="N47" s="14" t="n">
        <x:f>'Pass测算'!J87</x:f>
        <x:v>2.8</x:v>
      </x:c>
      <x:c r="O47" s="13" t="str">
        <x:v>第2组</x:v>
      </x:c>
      <x:c r="P47" s="13" t="str">
        <x:v>Z075</x:v>
      </x:c>
      <x:c r="Q47" s="13" t="str">
        <x:v>已配置</x:v>
      </x:c>
      <x:c r="R47" s="28" t="n">
        <x:v>219.99</x:v>
      </x:c>
      <x:c r="S47" s="28" t="n">
        <x:v>1056.99</x:v>
      </x:c>
    </x:row>
    <x:row r="48" ht="29" customHeight="1">
      <x:c r="A48" s="4" t="str">
        <x:v>津巴布韦</x:v>
      </x:c>
      <x:c r="B48" s="10" t="n">
        <x:v>0.2</x:v>
      </x:c>
      <x:c r="C48" s="13" t="str">
        <x:v>USD</x:v>
      </x:c>
      <x:c r="D48" s="12" t="n">
        <x:v>0.59</x:v>
      </x:c>
      <x:c r="E48" s="12" t="n">
        <x:v>3.99</x:v>
      </x:c>
      <x:c r="F48" s="12" t="n">
        <x:v>7.99</x:v>
      </x:c>
      <x:c r="G48" s="23" t="n">
        <x:v>5.99</x:v>
      </x:c>
      <x:c r="H48" s="12" t="n">
        <x:v>18.99</x:v>
      </x:c>
      <x:c r="I48" s="12" t="n">
        <x:v>37.99</x:v>
      </x:c>
      <x:c r="J48" s="23" t="n">
        <x:f>ROUND(G48*12,2)</x:f>
        <x:v>71.88</x:v>
      </x:c>
      <x:c r="K48" s="12" t="n">
        <x:v>1.99</x:v>
      </x:c>
      <x:c r="L48" s="12" t="n">
        <x:v>0.99</x:v>
      </x:c>
      <x:c r="M48" s="12" t="n">
        <x:v>1.49</x:v>
      </x:c>
      <x:c r="N48" s="14" t="n">
        <x:f>'Pass测算'!J9</x:f>
        <x:v>0.6</x:v>
      </x:c>
      <x:c r="O48" s="13" t="str">
        <x:v>第2组</x:v>
      </x:c>
      <x:c r="P48" s="13" t="str">
        <x:v>Z020</x:v>
      </x:c>
      <x:c r="Q48" s="13" t="str">
        <x:v>已配置</x:v>
      </x:c>
      <x:c r="R48" s="28" t="n">
        <x:v>15.99</x:v>
      </x:c>
      <x:c r="S48" s="28" t="n">
        <x:v>76.99</x:v>
      </x:c>
    </x:row>
    <x:row r="49" ht="29" customHeight="1">
      <x:c r="A49" s="4" t="str">
        <x:v>圭亚那</x:v>
      </x:c>
      <x:c r="B49" s="10" t="n">
        <x:v>0.55</x:v>
      </x:c>
      <x:c r="C49" s="13" t="str">
        <x:v>GYD</x:v>
      </x:c>
      <x:c r="D49" s="15" t="n">
        <x:v>349</x:v>
      </x:c>
      <x:c r="E49" s="15" t="n">
        <x:v>2299</x:v>
      </x:c>
      <x:c r="F49" s="15" t="n">
        <x:v>4599</x:v>
      </x:c>
      <x:c r="G49" s="24" t="n">
        <x:v>3499</x:v>
      </x:c>
      <x:c r="H49" s="15" t="n">
        <x:v>10900</x:v>
      </x:c>
      <x:c r="I49" s="15" t="n">
        <x:v>21900</x:v>
      </x:c>
      <x:c r="J49" s="24" t="n">
        <x:f>ROUND(G49*12,2)</x:f>
        <x:v>41988</x:v>
      </x:c>
      <x:c r="K49" s="15" t="n">
        <x:v>1199</x:v>
      </x:c>
      <x:c r="L49" s="15" t="n">
        <x:v>579</x:v>
      </x:c>
      <x:c r="M49" s="15" t="n">
        <x:v>809</x:v>
      </x:c>
      <x:c r="N49" s="15" t="n">
        <x:f>'Pass测算'!J73</x:f>
        <x:v>130</x:v>
      </x:c>
      <x:c r="O49" s="13" t="str">
        <x:v>第2组</x:v>
      </x:c>
      <x:c r="P49" s="13" t="str">
        <x:v>Z055</x:v>
      </x:c>
      <x:c r="Q49" s="13" t="str">
        <x:v>已配置</x:v>
      </x:c>
      <x:c r="R49" s="29" t="n">
        <x:v>9199</x:v>
      </x:c>
      <x:c r="S49" s="29" t="n">
        <x:v>43900</x:v>
      </x:c>
    </x:row>
    <x:row r="50" ht="29" customHeight="1">
      <x:c r="A50" s="4" t="str">
        <x:v>巴勒斯坦</x:v>
      </x:c>
      <x:c r="B50" s="10" t="n">
        <x:v>0.2</x:v>
      </x:c>
      <x:c r="C50" s="13" t="str">
        <x:v>ILS</x:v>
      </x:c>
      <x:c r="D50" s="12" t="n">
        <x:v>1.99</x:v>
      </x:c>
      <x:c r="E50" s="12" t="n">
        <x:v>11.99</x:v>
      </x:c>
      <x:c r="F50" s="12" t="n">
        <x:v>24.99</x:v>
      </x:c>
      <x:c r="G50" s="23" t="n">
        <x:v>18.99</x:v>
      </x:c>
      <x:c r="H50" s="12" t="n">
        <x:v>58.99</x:v>
      </x:c>
      <x:c r="I50" s="12" t="n">
        <x:v>118.99</x:v>
      </x:c>
      <x:c r="J50" s="23" t="n">
        <x:f>ROUND(G50*12,2)</x:f>
        <x:v>227.88</x:v>
      </x:c>
      <x:c r="K50" s="12" t="n">
        <x:v>5.99</x:v>
      </x:c>
      <x:c r="L50" s="12" t="n">
        <x:v>2.99</x:v>
      </x:c>
      <x:c r="M50" s="12" t="n">
        <x:v>4.49</x:v>
      </x:c>
      <x:c r="N50" s="14" t="n">
        <x:f>'Pass测算'!J10</x:f>
        <x:v>1.8</x:v>
      </x:c>
      <x:c r="O50" s="13" t="str">
        <x:v>第2组</x:v>
      </x:c>
      <x:c r="P50" s="13" t="str">
        <x:v>Z020</x:v>
      </x:c>
      <x:c r="Q50" s="13" t="str">
        <x:v>已配置</x:v>
      </x:c>
      <x:c r="R50" s="28" t="n">
        <x:v>49.99</x:v>
      </x:c>
      <x:c r="S50" s="28" t="n">
        <x:v>237.99</x:v>
      </x:c>
    </x:row>
    <x:row r="51" ht="29" customHeight="1">
      <x:c r="A51" s="4" t="str">
        <x:v>罗马尼亚</x:v>
      </x:c>
      <x:c r="B51" s="10" t="n">
        <x:v>0.45</x:v>
      </x:c>
      <x:c r="C51" s="13" t="str">
        <x:v>RON</x:v>
      </x:c>
      <x:c r="D51" s="12" t="n">
        <x:v>6.49</x:v>
      </x:c>
      <x:c r="E51" s="12" t="n">
        <x:v>42.99</x:v>
      </x:c>
      <x:c r="F51" s="12" t="n">
        <x:v>84.99</x:v>
      </x:c>
      <x:c r="G51" s="23" t="n">
        <x:v>63.99</x:v>
      </x:c>
      <x:c r="H51" s="12" t="n">
        <x:v>204.99</x:v>
      </x:c>
      <x:c r="I51" s="12" t="n">
        <x:v>408.99</x:v>
      </x:c>
      <x:c r="J51" s="23" t="n">
        <x:f>ROUND(G51*12,2)</x:f>
        <x:v>767.88</x:v>
      </x:c>
      <x:c r="K51" s="12" t="n">
        <x:v>20.99</x:v>
      </x:c>
      <x:c r="L51" s="12" t="n">
        <x:v>10.99</x:v>
      </x:c>
      <x:c r="M51" s="12" t="n">
        <x:v>14.99</x:v>
      </x:c>
      <x:c r="N51" s="14" t="n">
        <x:f>'Pass测算'!J62</x:f>
        <x:v>2.9</x:v>
      </x:c>
      <x:c r="O51" s="13" t="str">
        <x:v>第2组</x:v>
      </x:c>
      <x:c r="P51" s="13" t="str">
        <x:v>Z045</x:v>
      </x:c>
      <x:c r="Q51" s="13" t="str">
        <x:v>已配置</x:v>
      </x:c>
      <x:c r="R51" s="28" t="n">
        <x:v>170.99</x:v>
      </x:c>
      <x:c r="S51" s="28" t="n">
        <x:v>818.99</x:v>
      </x:c>
    </x:row>
    <x:row r="52" ht="29" customHeight="1">
      <x:c r="A52" s="4" t="str">
        <x:v>卢旺达</x:v>
      </x:c>
      <x:c r="B52" s="10" t="n">
        <x:v>0.2</x:v>
      </x:c>
      <x:c r="C52" s="13" t="str">
        <x:v>RWF</x:v>
      </x:c>
      <x:c r="D52" s="15" t="n">
        <x:v>889</x:v>
      </x:c>
      <x:c r="E52" s="15" t="n">
        <x:v>5899</x:v>
      </x:c>
      <x:c r="F52" s="15" t="n">
        <x:v>11900</x:v>
      </x:c>
      <x:c r="G52" s="24" t="n">
        <x:v>8899</x:v>
      </x:c>
      <x:c r="H52" s="15" t="n">
        <x:v>27900</x:v>
      </x:c>
      <x:c r="I52" s="15" t="n">
        <x:v>56900</x:v>
      </x:c>
      <x:c r="J52" s="24" t="n">
        <x:f>ROUND(G52*12,2)</x:f>
        <x:v>106788</x:v>
      </x:c>
      <x:c r="K52" s="15" t="n">
        <x:v>2999</x:v>
      </x:c>
      <x:c r="L52" s="15" t="n">
        <x:v>1499</x:v>
      </x:c>
      <x:c r="M52" s="15" t="n">
        <x:v>2099</x:v>
      </x:c>
      <x:c r="N52" s="15" t="n">
        <x:f>'Pass测算'!J11</x:f>
        <x:v>890</x:v>
      </x:c>
      <x:c r="O52" s="13" t="str">
        <x:v>第2组</x:v>
      </x:c>
      <x:c r="P52" s="13" t="str">
        <x:v>Z020</x:v>
      </x:c>
      <x:c r="Q52" s="13" t="str">
        <x:v>已配置</x:v>
      </x:c>
      <x:c r="R52" s="29" t="n">
        <x:v>23900</x:v>
      </x:c>
      <x:c r="S52" s="29" t="n">
        <x:v>113900</x:v>
      </x:c>
    </x:row>
    <x:row r="53" ht="29" customHeight="1">
      <x:c r="A53" s="4" t="str">
        <x:v>沙特阿拉伯</x:v>
      </x:c>
      <x:c r="B53" s="10" t="n">
        <x:v>0.6</x:v>
      </x:c>
      <x:c r="C53" s="13" t="str">
        <x:v>SAR</x:v>
      </x:c>
      <x:c r="D53" s="12" t="n">
        <x:v>6.49</x:v>
      </x:c>
      <x:c r="E53" s="12" t="n">
        <x:v>44.99</x:v>
      </x:c>
      <x:c r="F53" s="12" t="n">
        <x:v>89.99</x:v>
      </x:c>
      <x:c r="G53" s="23" t="n">
        <x:v>66.99</x:v>
      </x:c>
      <x:c r="H53" s="12" t="n">
        <x:v>215.99</x:v>
      </x:c>
      <x:c r="I53" s="12" t="n">
        <x:v>431.99</x:v>
      </x:c>
      <x:c r="J53" s="23" t="n">
        <x:f>ROUND(G53*12,2)</x:f>
        <x:v>803.88</x:v>
      </x:c>
      <x:c r="K53" s="12" t="n">
        <x:v>21.99</x:v>
      </x:c>
      <x:c r="L53" s="12" t="n">
        <x:v>10.99</x:v>
      </x:c>
      <x:c r="M53" s="12" t="n">
        <x:v>15.99</x:v>
      </x:c>
      <x:c r="N53" s="14" t="n">
        <x:f>'Pass测算'!J79</x:f>
        <x:v>2.3</x:v>
      </x:c>
      <x:c r="O53" s="13" t="str">
        <x:v>第2组</x:v>
      </x:c>
      <x:c r="P53" s="13" t="str">
        <x:v>Z060</x:v>
      </x:c>
      <x:c r="Q53" s="13" t="str">
        <x:v>已配置</x:v>
      </x:c>
      <x:c r="R53" s="28" t="n">
        <x:v>179.99</x:v>
      </x:c>
      <x:c r="S53" s="28" t="n">
        <x:v>863.99</x:v>
      </x:c>
    </x:row>
    <x:row r="54" ht="29" customHeight="1">
      <x:c r="A54" s="4" t="str">
        <x:v>乌拉圭</x:v>
      </x:c>
      <x:c r="B54" s="10" t="n">
        <x:v>0.6</x:v>
      </x:c>
      <x:c r="C54" s="13" t="str">
        <x:v>UYU</x:v>
      </x:c>
      <x:c r="D54" s="15" t="n">
        <x:v>69</x:v>
      </x:c>
      <x:c r="E54" s="15" t="n">
        <x:v>479</x:v>
      </x:c>
      <x:c r="F54" s="15" t="n">
        <x:v>969</x:v>
      </x:c>
      <x:c r="G54" s="24" t="n">
        <x:v>719</x:v>
      </x:c>
      <x:c r="H54" s="15" t="n">
        <x:v>2299</x:v>
      </x:c>
      <x:c r="I54" s="15" t="n">
        <x:v>4599</x:v>
      </x:c>
      <x:c r="J54" s="24" t="n">
        <x:f>ROUND(G54*12,2)</x:f>
        <x:v>8628</x:v>
      </x:c>
      <x:c r="K54" s="15" t="n">
        <x:v>239</x:v>
      </x:c>
      <x:c r="L54" s="15" t="n">
        <x:v>119</x:v>
      </x:c>
      <x:c r="M54" s="15" t="n">
        <x:v>169</x:v>
      </x:c>
      <x:c r="N54" s="15" t="n">
        <x:f>'Pass测算'!J80</x:f>
        <x:v>24</x:v>
      </x:c>
      <x:c r="O54" s="13" t="str">
        <x:v>第2组</x:v>
      </x:c>
      <x:c r="P54" s="13" t="str">
        <x:v>Z060</x:v>
      </x:c>
      <x:c r="Q54" s="13" t="str">
        <x:v>已配置</x:v>
      </x:c>
      <x:c r="R54" s="29" t="n">
        <x:v>1899</x:v>
      </x:c>
      <x:c r="S54" s="29" t="n">
        <x:v>9299</x:v>
      </x:c>
    </x:row>
    <x:row r="55" ht="29" customHeight="1">
      <x:c r="A55" s="4" t="str">
        <x:v>阿塞拜疆</x:v>
      </x:c>
      <x:c r="B55" s="10" t="n">
        <x:v>0.3</x:v>
      </x:c>
      <x:c r="C55" s="13" t="str">
        <x:v>AZN</x:v>
      </x:c>
      <x:c r="D55" s="12" t="n">
        <x:v>1.49</x:v>
      </x:c>
      <x:c r="E55" s="12" t="n">
        <x:v>9.99</x:v>
      </x:c>
      <x:c r="F55" s="12" t="n">
        <x:v>19.99</x:v>
      </x:c>
      <x:c r="G55" s="23" t="n">
        <x:v>14.99</x:v>
      </x:c>
      <x:c r="H55" s="12" t="n">
        <x:v>48.99</x:v>
      </x:c>
      <x:c r="I55" s="12" t="n">
        <x:v>97.99</x:v>
      </x:c>
      <x:c r="J55" s="23" t="n">
        <x:f>ROUND(G55*12,2)</x:f>
        <x:v>179.88</x:v>
      </x:c>
      <x:c r="K55" s="12" t="n">
        <x:v>4.99</x:v>
      </x:c>
      <x:c r="L55" s="12" t="n">
        <x:v>2.49</x:v>
      </x:c>
      <x:c r="M55" s="12" t="n">
        <x:v>3.49</x:v>
      </x:c>
      <x:c r="N55" s="15" t="n">
        <x:f>'Pass测算'!J35</x:f>
        <x:v>1</x:v>
      </x:c>
      <x:c r="O55" s="13" t="str">
        <x:v>第2组</x:v>
      </x:c>
      <x:c r="P55" s="13" t="str">
        <x:v>Z030</x:v>
      </x:c>
      <x:c r="Q55" s="13" t="str">
        <x:v>已配置</x:v>
      </x:c>
      <x:c r="R55" s="28" t="n">
        <x:v>40.99</x:v>
      </x:c>
      <x:c r="S55" s="28" t="n">
        <x:v>195.99</x:v>
      </x:c>
    </x:row>
    <x:row r="56" ht="29" customHeight="1">
      <x:c r="A56" s="4" t="str">
        <x:v>巴哈马</x:v>
      </x:c>
      <x:c r="B56" s="10" t="n">
        <x:v>0.85</x:v>
      </x:c>
      <x:c r="C56" s="13" t="str">
        <x:v>BSD</x:v>
      </x:c>
      <x:c r="D56" s="12" t="n">
        <x:v>2.49</x:v>
      </x:c>
      <x:c r="E56" s="12" t="n">
        <x:v>16.99</x:v>
      </x:c>
      <x:c r="F56" s="12" t="n">
        <x:v>33.99</x:v>
      </x:c>
      <x:c r="G56" s="23" t="n">
        <x:v>25.99</x:v>
      </x:c>
      <x:c r="H56" s="12" t="n">
        <x:v>81.99</x:v>
      </x:c>
      <x:c r="I56" s="12" t="n">
        <x:v>162.99</x:v>
      </x:c>
      <x:c r="J56" s="23" t="n">
        <x:f>ROUND(G56*12,2)</x:f>
        <x:v>311.88</x:v>
      </x:c>
      <x:c r="K56" s="12" t="n">
        <x:v>8.49</x:v>
      </x:c>
      <x:c r="L56" s="12" t="n">
        <x:v>3.99</x:v>
      </x:c>
      <x:c r="M56" s="12" t="n">
        <x:v>5.99</x:v>
      </x:c>
      <x:c r="N56" s="14" t="n">
        <x:f>'Pass测算'!J95</x:f>
        <x:v>0.85</x:v>
      </x:c>
      <x:c r="O56" s="13" t="str">
        <x:v>第2组</x:v>
      </x:c>
      <x:c r="P56" s="13" t="str">
        <x:v>Z085</x:v>
      </x:c>
      <x:c r="Q56" s="13" t="str">
        <x:v>已配置</x:v>
      </x:c>
      <x:c r="R56" s="28" t="n">
        <x:v>67.99</x:v>
      </x:c>
      <x:c r="S56" s="28" t="n">
        <x:v>325.99</x:v>
      </x:c>
    </x:row>
    <x:row r="57" ht="29" customHeight="1">
      <x:c r="A57" s="4" t="str">
        <x:v>伯利兹</x:v>
      </x:c>
      <x:c r="B57" s="10" t="n">
        <x:v>0.4</x:v>
      </x:c>
      <x:c r="C57" s="13" t="str">
        <x:v>BZD</x:v>
      </x:c>
      <x:c r="D57" s="12" t="n">
        <x:v>2.49</x:v>
      </x:c>
      <x:c r="E57" s="12" t="n">
        <x:v>15.99</x:v>
      </x:c>
      <x:c r="F57" s="12" t="n">
        <x:v>31.99</x:v>
      </x:c>
      <x:c r="G57" s="23" t="n">
        <x:v>23.99</x:v>
      </x:c>
      <x:c r="H57" s="12" t="n">
        <x:v>76.99</x:v>
      </x:c>
      <x:c r="I57" s="12" t="n">
        <x:v>153.99</x:v>
      </x:c>
      <x:c r="J57" s="23" t="n">
        <x:f>ROUND(G57*12,2)</x:f>
        <x:v>287.88</x:v>
      </x:c>
      <x:c r="K57" s="12" t="n">
        <x:v>7.99</x:v>
      </x:c>
      <x:c r="L57" s="12" t="n">
        <x:v>3.99</x:v>
      </x:c>
      <x:c r="M57" s="12" t="n">
        <x:v>5.49</x:v>
      </x:c>
      <x:c r="N57" s="14" t="n">
        <x:f>'Pass测算'!J54</x:f>
        <x:v>1.2</x:v>
      </x:c>
      <x:c r="O57" s="13" t="str">
        <x:v>第2组</x:v>
      </x:c>
      <x:c r="P57" s="13" t="str">
        <x:v>Z040</x:v>
      </x:c>
      <x:c r="Q57" s="13" t="str">
        <x:v>已配置</x:v>
      </x:c>
      <x:c r="R57" s="28" t="n">
        <x:v>63.99</x:v>
      </x:c>
      <x:c r="S57" s="28" t="n">
        <x:v>306.99</x:v>
      </x:c>
    </x:row>
    <x:row r="58" ht="29" customHeight="1">
      <x:c r="A58" s="4" t="str">
        <x:v>玻利维亚</x:v>
      </x:c>
      <x:c r="B58" s="10" t="n">
        <x:v>0.25</x:v>
      </x:c>
      <x:c r="C58" s="13" t="str">
        <x:v>BOB</x:v>
      </x:c>
      <x:c r="D58" s="12" t="n">
        <x:v>8.99</x:v>
      </x:c>
      <x:c r="E58" s="12" t="n">
        <x:v>58.99</x:v>
      </x:c>
      <x:c r="F58" s="12" t="n">
        <x:v>116.99</x:v>
      </x:c>
      <x:c r="G58" s="23" t="n">
        <x:v>87.99</x:v>
      </x:c>
      <x:c r="H58" s="12" t="n">
        <x:v>280.99</x:v>
      </x:c>
      <x:c r="I58" s="12" t="n">
        <x:v>561.99</x:v>
      </x:c>
      <x:c r="J58" s="23" t="n">
        <x:f>ROUND(G58*12,2)</x:f>
        <x:v>1055.88</x:v>
      </x:c>
      <x:c r="K58" s="12" t="n">
        <x:v>28.99</x:v>
      </x:c>
      <x:c r="L58" s="12" t="n">
        <x:v>14.99</x:v>
      </x:c>
      <x:c r="M58" s="12" t="n">
        <x:v>19.99</x:v>
      </x:c>
      <x:c r="N58" s="14" t="n">
        <x:f>'Pass测算'!J26</x:f>
        <x:v>7.1</x:v>
      </x:c>
      <x:c r="O58" s="13" t="str">
        <x:v>第2组</x:v>
      </x:c>
      <x:c r="P58" s="13" t="str">
        <x:v>Z025</x:v>
      </x:c>
      <x:c r="Q58" s="13" t="str">
        <x:v>已配置</x:v>
      </x:c>
      <x:c r="R58" s="28" t="n">
        <x:v>233.99</x:v>
      </x:c>
      <x:c r="S58" s="28" t="n">
        <x:v>1124.99</x:v>
      </x:c>
    </x:row>
    <x:row r="59" ht="29" customHeight="1">
      <x:c r="A59" s="4" t="str">
        <x:v>法国</x:v>
      </x:c>
      <x:c r="B59" s="10" t="n">
        <x:v>0.75</x:v>
      </x:c>
      <x:c r="C59" s="13" t="str">
        <x:v>EUR</x:v>
      </x:c>
      <x:c r="D59" s="12" t="n">
        <x:v>1.99</x:v>
      </x:c>
      <x:c r="E59" s="12" t="n">
        <x:v>12.99</x:v>
      </x:c>
      <x:c r="F59" s="12" t="n">
        <x:v>26.99</x:v>
      </x:c>
      <x:c r="G59" s="23" t="n">
        <x:v>19.99</x:v>
      </x:c>
      <x:c r="H59" s="12" t="n">
        <x:v>62.99</x:v>
      </x:c>
      <x:c r="I59" s="12" t="n">
        <x:v>127.99</x:v>
      </x:c>
      <x:c r="J59" s="23" t="n">
        <x:f>ROUND(G59*12,2)</x:f>
        <x:v>239.88</x:v>
      </x:c>
      <x:c r="K59" s="12" t="n">
        <x:v>6.49</x:v>
      </x:c>
      <x:c r="L59" s="12" t="n">
        <x:v>3.49</x:v>
      </x:c>
      <x:c r="M59" s="12" t="n">
        <x:v>4.49</x:v>
      </x:c>
      <x:c r="N59" s="14" t="n">
        <x:f>'Pass测算'!J88</x:f>
        <x:v>0.65</x:v>
      </x:c>
      <x:c r="O59" s="13" t="str">
        <x:v>第2组</x:v>
      </x:c>
      <x:c r="P59" s="13" t="str">
        <x:v>Z075</x:v>
      </x:c>
      <x:c r="Q59" s="13" t="str">
        <x:v>已配置</x:v>
      </x:c>
      <x:c r="R59" s="28" t="n">
        <x:v>52.99</x:v>
      </x:c>
      <x:c r="S59" s="28" t="n">
        <x:v>255.99</x:v>
      </x:c>
    </x:row>
    <x:row r="60" ht="29" customHeight="1">
      <x:c r="A60" s="4" t="str">
        <x:v>希腊</x:v>
      </x:c>
      <x:c r="B60" s="10" t="n">
        <x:v>0.55</x:v>
      </x:c>
      <x:c r="C60" s="13" t="str">
        <x:v>EUR</x:v>
      </x:c>
      <x:c r="D60" s="12" t="n">
        <x:v>1.49</x:v>
      </x:c>
      <x:c r="E60" s="12" t="n">
        <x:v>9.99</x:v>
      </x:c>
      <x:c r="F60" s="12" t="n">
        <x:v>19.99</x:v>
      </x:c>
      <x:c r="G60" s="23" t="n">
        <x:v>14.99</x:v>
      </x:c>
      <x:c r="H60" s="12" t="n">
        <x:v>46.99</x:v>
      </x:c>
      <x:c r="I60" s="12" t="n">
        <x:v>93.99</x:v>
      </x:c>
      <x:c r="J60" s="23" t="n">
        <x:f>ROUND(G60*12,2)</x:f>
        <x:v>179.88</x:v>
      </x:c>
      <x:c r="K60" s="12" t="n">
        <x:v>4.99</x:v>
      </x:c>
      <x:c r="L60" s="12" t="n">
        <x:v>2.49</x:v>
      </x:c>
      <x:c r="M60" s="12" t="n">
        <x:v>3.49</x:v>
      </x:c>
      <x:c r="N60" s="14" t="n">
        <x:f>'Pass测算'!J74</x:f>
        <x:v>0.53</x:v>
      </x:c>
      <x:c r="O60" s="13" t="str">
        <x:v>第2组</x:v>
      </x:c>
      <x:c r="P60" s="13" t="str">
        <x:v>Z055</x:v>
      </x:c>
      <x:c r="Q60" s="13" t="str">
        <x:v>已配置</x:v>
      </x:c>
      <x:c r="R60" s="28" t="n">
        <x:v>38.99</x:v>
      </x:c>
      <x:c r="S60" s="28" t="n">
        <x:v>187.99</x:v>
      </x:c>
    </x:row>
    <x:row r="61" ht="29" customHeight="1">
      <x:c r="A61" s="4" t="str">
        <x:v>危地马拉</x:v>
      </x:c>
      <x:c r="B61" s="10" t="n">
        <x:v>0.35</x:v>
      </x:c>
      <x:c r="C61" s="13" t="str">
        <x:v>GTQ</x:v>
      </x:c>
      <x:c r="D61" s="12" t="n">
        <x:v>7.99</x:v>
      </x:c>
      <x:c r="E61" s="12" t="n">
        <x:v>52.99</x:v>
      </x:c>
      <x:c r="F61" s="12" t="n">
        <x:v>106.99</x:v>
      </x:c>
      <x:c r="G61" s="23" t="n">
        <x:v>79.99</x:v>
      </x:c>
      <x:c r="H61" s="12" t="n">
        <x:v>255.99</x:v>
      </x:c>
      <x:c r="I61" s="12" t="n">
        <x:v>512.99</x:v>
      </x:c>
      <x:c r="J61" s="23" t="n">
        <x:f>ROUND(G61*12,2)</x:f>
        <x:v>959.88</x:v>
      </x:c>
      <x:c r="K61" s="12" t="n">
        <x:v>26.99</x:v>
      </x:c>
      <x:c r="L61" s="12" t="n">
        <x:v>12.99</x:v>
      </x:c>
      <x:c r="M61" s="12" t="n">
        <x:v>18.99</x:v>
      </x:c>
      <x:c r="N61" s="14" t="n">
        <x:f>'Pass测算'!J44</x:f>
        <x:v>4.6</x:v>
      </x:c>
      <x:c r="O61" s="13" t="str">
        <x:v>第2组</x:v>
      </x:c>
      <x:c r="P61" s="13" t="str">
        <x:v>Z035</x:v>
      </x:c>
      <x:c r="Q61" s="13" t="str">
        <x:v>已配置</x:v>
      </x:c>
      <x:c r="R61" s="28" t="n">
        <x:v>213.99</x:v>
      </x:c>
      <x:c r="S61" s="28" t="n">
        <x:v>1026.99</x:v>
      </x:c>
    </x:row>
    <x:row r="62" ht="29" customHeight="1">
      <x:c r="A62" s="4" t="str">
        <x:v>伊拉克</x:v>
      </x:c>
      <x:c r="B62" s="10" t="n">
        <x:v>0.35</x:v>
      </x:c>
      <x:c r="C62" s="13" t="str">
        <x:v>USD</x:v>
      </x:c>
      <x:c r="D62" s="12" t="n">
        <x:v>0.99</x:v>
      </x:c>
      <x:c r="E62" s="12" t="n">
        <x:v>6.99</x:v>
      </x:c>
      <x:c r="F62" s="12" t="n">
        <x:v>13.99</x:v>
      </x:c>
      <x:c r="G62" s="23" t="n">
        <x:v>10.99</x:v>
      </x:c>
      <x:c r="H62" s="12" t="n">
        <x:v>33.99</x:v>
      </x:c>
      <x:c r="I62" s="12" t="n">
        <x:v>66.99</x:v>
      </x:c>
      <x:c r="J62" s="23" t="n">
        <x:f>ROUND(G62*12,2)</x:f>
        <x:v>131.88</x:v>
      </x:c>
      <x:c r="K62" s="12" t="n">
        <x:v>3.49</x:v>
      </x:c>
      <x:c r="L62" s="12" t="n">
        <x:v>1.79</x:v>
      </x:c>
      <x:c r="M62" s="12" t="n">
        <x:v>2.49</x:v>
      </x:c>
      <x:c r="N62" s="14" t="n">
        <x:f>'Pass测算'!J42</x:f>
        <x:v>0.6</x:v>
      </x:c>
      <x:c r="O62" s="13" t="str">
        <x:v>第3组</x:v>
      </x:c>
      <x:c r="P62" s="13" t="str">
        <x:v>Z035</x:v>
      </x:c>
      <x:c r="Q62" s="13" t="str">
        <x:v>USD替代已配置</x:v>
      </x:c>
      <x:c r="R62" s="28"/>
      <x:c r="S62" s="28"/>
    </x:row>
    <x:row r="63" ht="29" customHeight="1">
      <x:c r="A63" s="4" t="str">
        <x:v>约旦</x:v>
      </x:c>
      <x:c r="B63" s="10" t="n">
        <x:v>0.35</x:v>
      </x:c>
      <x:c r="C63" s="13" t="str">
        <x:v>USD</x:v>
      </x:c>
      <x:c r="D63" s="12" t="n">
        <x:v>0.99</x:v>
      </x:c>
      <x:c r="E63" s="12" t="n">
        <x:v>6.99</x:v>
      </x:c>
      <x:c r="F63" s="12" t="n">
        <x:v>13.99</x:v>
      </x:c>
      <x:c r="G63" s="23" t="n">
        <x:v>10.99</x:v>
      </x:c>
      <x:c r="H63" s="12" t="n">
        <x:v>33.99</x:v>
      </x:c>
      <x:c r="I63" s="12" t="n">
        <x:v>66.99</x:v>
      </x:c>
      <x:c r="J63" s="23" t="n">
        <x:f>ROUND(G63*12,2)</x:f>
        <x:v>131.88</x:v>
      </x:c>
      <x:c r="K63" s="12" t="n">
        <x:v>3.49</x:v>
      </x:c>
      <x:c r="L63" s="12" t="n">
        <x:v>1.79</x:v>
      </x:c>
      <x:c r="M63" s="12" t="n">
        <x:v>2.49</x:v>
      </x:c>
      <x:c r="N63" s="14" t="n">
        <x:f>'Pass测算'!J42</x:f>
        <x:v>0.6</x:v>
      </x:c>
      <x:c r="O63" s="13" t="str">
        <x:v>第3组</x:v>
      </x:c>
      <x:c r="P63" s="13" t="str">
        <x:v>Z035</x:v>
      </x:c>
      <x:c r="Q63" s="13" t="str">
        <x:v>USD替代已配置</x:v>
      </x:c>
      <x:c r="R63" s="28"/>
      <x:c r="S63" s="28"/>
    </x:row>
    <x:row r="64" ht="29" customHeight="1">
      <x:c r="A64" s="4" t="str">
        <x:v>巴拿马</x:v>
      </x:c>
      <x:c r="B64" s="10" t="n">
        <x:v>0.5</x:v>
      </x:c>
      <x:c r="C64" s="13" t="str">
        <x:v>USD</x:v>
      </x:c>
      <x:c r="D64" s="12" t="n">
        <x:v>1.49</x:v>
      </x:c>
      <x:c r="E64" s="12" t="n">
        <x:v>9.99</x:v>
      </x:c>
      <x:c r="F64" s="12" t="n">
        <x:v>19.99</x:v>
      </x:c>
      <x:c r="G64" s="23" t="n">
        <x:v>14.99</x:v>
      </x:c>
      <x:c r="H64" s="12" t="n">
        <x:v>47.99</x:v>
      </x:c>
      <x:c r="I64" s="12" t="n">
        <x:v>95.99</x:v>
      </x:c>
      <x:c r="J64" s="23" t="n">
        <x:f>ROUND(G64*12,2)</x:f>
        <x:v>179.88</x:v>
      </x:c>
      <x:c r="K64" s="12" t="n">
        <x:v>4.99</x:v>
      </x:c>
      <x:c r="L64" s="12" t="n">
        <x:v>2.49</x:v>
      </x:c>
      <x:c r="M64" s="12" t="n">
        <x:v>3.49</x:v>
      </x:c>
      <x:c r="N64" s="14" t="n">
        <x:f>'Pass测算'!J66</x:f>
        <x:v>0.6</x:v>
      </x:c>
      <x:c r="O64" s="13" t="str">
        <x:v>第3组</x:v>
      </x:c>
      <x:c r="P64" s="13" t="str">
        <x:v>Z050</x:v>
      </x:c>
      <x:c r="Q64" s="13" t="str">
        <x:v>已配置</x:v>
      </x:c>
      <x:c r="R64" s="28" t="n">
        <x:v>39.99</x:v>
      </x:c>
      <x:c r="S64" s="28" t="n">
        <x:v>191.99</x:v>
      </x:c>
    </x:row>
    <x:row r="65" ht="29" customHeight="1">
      <x:c r="A65" s="4" t="str">
        <x:v>圣卢西亚</x:v>
      </x:c>
      <x:c r="B65" s="10" t="n">
        <x:v>0.45</x:v>
      </x:c>
      <x:c r="C65" s="13" t="str">
        <x:v>XCD</x:v>
      </x:c>
      <x:c r="D65" s="12" t="n">
        <x:v>3.49</x:v>
      </x:c>
      <x:c r="E65" s="12" t="n">
        <x:v>23.99</x:v>
      </x:c>
      <x:c r="F65" s="12" t="n">
        <x:v>48.99</x:v>
      </x:c>
      <x:c r="G65" s="23" t="n">
        <x:v>35.99</x:v>
      </x:c>
      <x:c r="H65" s="12" t="n">
        <x:v>115.99</x:v>
      </x:c>
      <x:c r="I65" s="12" t="n">
        <x:v>232.99</x:v>
      </x:c>
      <x:c r="J65" s="23" t="n">
        <x:f>ROUND(G65*12,2)</x:f>
        <x:v>431.88</x:v>
      </x:c>
      <x:c r="K65" s="12" t="n">
        <x:v>11.99</x:v>
      </x:c>
      <x:c r="L65" s="12" t="n">
        <x:v>5.99</x:v>
      </x:c>
      <x:c r="M65" s="12" t="n">
        <x:v>8.49</x:v>
      </x:c>
      <x:c r="N65" s="14" t="n">
        <x:f>'Pass测算'!J63</x:f>
        <x:v>1.7</x:v>
      </x:c>
      <x:c r="O65" s="13" t="str">
        <x:v>第3组</x:v>
      </x:c>
      <x:c r="P65" s="13" t="str">
        <x:v>Z045</x:v>
      </x:c>
      <x:c r="Q65" s="13" t="str">
        <x:v>已配置</x:v>
      </x:c>
      <x:c r="R65" s="28" t="n">
        <x:v>96.99</x:v>
      </x:c>
      <x:c r="S65" s="28" t="n">
        <x:v>465.99</x:v>
      </x:c>
    </x:row>
    <x:row r="66" ht="29" customHeight="1">
      <x:c r="A66" s="4" t="str">
        <x:v>西班牙</x:v>
      </x:c>
      <x:c r="B66" s="10" t="n">
        <x:v>0.65</x:v>
      </x:c>
      <x:c r="C66" s="13" t="str">
        <x:v>EUR</x:v>
      </x:c>
      <x:c r="D66" s="12" t="n">
        <x:v>1.69</x:v>
      </x:c>
      <x:c r="E66" s="12" t="n">
        <x:v>11.99</x:v>
      </x:c>
      <x:c r="F66" s="12" t="n">
        <x:v>22.99</x:v>
      </x:c>
      <x:c r="G66" s="23" t="n">
        <x:v>16.99</x:v>
      </x:c>
      <x:c r="H66" s="12" t="n">
        <x:v>56.99</x:v>
      </x:c>
      <x:c r="I66" s="12" t="n">
        <x:v>110.99</x:v>
      </x:c>
      <x:c r="J66" s="23" t="n">
        <x:f>ROUND(G66*12,2)</x:f>
        <x:v>203.88</x:v>
      </x:c>
      <x:c r="K66" s="12" t="n">
        <x:v>5.99</x:v>
      </x:c>
      <x:c r="L66" s="12" t="n">
        <x:v>2.99</x:v>
      </x:c>
      <x:c r="M66" s="12" t="n">
        <x:v>3.99</x:v>
      </x:c>
      <x:c r="N66" s="14" t="n">
        <x:f>'Pass测算'!J84</x:f>
        <x:v>0.57</x:v>
      </x:c>
      <x:c r="O66" s="13" t="str">
        <x:v>第3组</x:v>
      </x:c>
      <x:c r="P66" s="13" t="str">
        <x:v>Z065</x:v>
      </x:c>
      <x:c r="Q66" s="13" t="str">
        <x:v>已配置</x:v>
      </x:c>
      <x:c r="R66" s="28" t="n">
        <x:v>45.99</x:v>
      </x:c>
      <x:c r="S66" s="28" t="n">
        <x:v>221.99</x:v>
      </x:c>
    </x:row>
    <x:row r="67" ht="29" customHeight="1">
      <x:c r="A67" s="4" t="str">
        <x:v>斯里兰卡</x:v>
      </x:c>
      <x:c r="B67" s="10" t="n">
        <x:v>0.25</x:v>
      </x:c>
      <x:c r="C67" s="13" t="str">
        <x:v>LKR</x:v>
      </x:c>
      <x:c r="D67" s="15" t="n">
        <x:v>249</x:v>
      </x:c>
      <x:c r="E67" s="15" t="n">
        <x:v>1699</x:v>
      </x:c>
      <x:c r="F67" s="15" t="n">
        <x:v>3299</x:v>
      </x:c>
      <x:c r="G67" s="24" t="n">
        <x:v>2499</x:v>
      </x:c>
      <x:c r="H67" s="15" t="n">
        <x:v>7999</x:v>
      </x:c>
      <x:c r="I67" s="15" t="n">
        <x:v>15900</x:v>
      </x:c>
      <x:c r="J67" s="24" t="n">
        <x:f>ROUND(G67*12,2)</x:f>
        <x:v>29988</x:v>
      </x:c>
      <x:c r="K67" s="15" t="n">
        <x:v>829</x:v>
      </x:c>
      <x:c r="L67" s="15" t="n">
        <x:v>409</x:v>
      </x:c>
      <x:c r="M67" s="15" t="n">
        <x:v>579</x:v>
      </x:c>
      <x:c r="N67" s="15" t="n">
        <x:f>'Pass测算'!J28</x:f>
        <x:v>210</x:v>
      </x:c>
      <x:c r="O67" s="13" t="str">
        <x:v>第3组</x:v>
      </x:c>
      <x:c r="P67" s="13" t="str">
        <x:v>Z025</x:v>
      </x:c>
      <x:c r="Q67" s="13" t="str">
        <x:v>已配置</x:v>
      </x:c>
      <x:c r="R67" s="29" t="n">
        <x:v>6599</x:v>
      </x:c>
      <x:c r="S67" s="29" t="n">
        <x:v>31900</x:v>
      </x:c>
    </x:row>
    <x:row r="68" ht="29" customHeight="1">
      <x:c r="A68" s="4" t="str">
        <x:v>坦桑尼亚</x:v>
      </x:c>
      <x:c r="B68" s="10" t="n">
        <x:v>0.2</x:v>
      </x:c>
      <x:c r="C68" s="13" t="str">
        <x:v>TZS</x:v>
      </x:c>
      <x:c r="D68" s="15" t="n">
        <x:v>1599</x:v>
      </x:c>
      <x:c r="E68" s="15" t="n">
        <x:v>10900</x:v>
      </x:c>
      <x:c r="F68" s="15" t="n">
        <x:v>20900</x:v>
      </x:c>
      <x:c r="G68" s="24" t="n">
        <x:v>15900</x:v>
      </x:c>
      <x:c r="H68" s="15" t="n">
        <x:v>51900</x:v>
      </x:c>
      <x:c r="I68" s="15" t="n">
        <x:v>99000</x:v>
      </x:c>
      <x:c r="J68" s="24" t="n">
        <x:f>ROUND(G68*12,2)</x:f>
        <x:v>190800</x:v>
      </x:c>
      <x:c r="K68" s="15" t="n">
        <x:v>5299</x:v>
      </x:c>
      <x:c r="L68" s="15" t="n">
        <x:v>2599</x:v>
      </x:c>
      <x:c r="M68" s="15" t="n">
        <x:v>3699</x:v>
      </x:c>
      <x:c r="N68" s="15" t="n">
        <x:f>'Pass测算'!J12</x:f>
        <x:v>1700</x:v>
      </x:c>
      <x:c r="O68" s="13" t="str">
        <x:v>第3组</x:v>
      </x:c>
      <x:c r="P68" s="13" t="str">
        <x:v>Z020</x:v>
      </x:c>
      <x:c r="Q68" s="13" t="str">
        <x:v>已配置</x:v>
      </x:c>
      <x:c r="R68" s="29" t="n">
        <x:v>41900</x:v>
      </x:c>
      <x:c r="S68" s="29" t="n">
        <x:v>199000</x:v>
      </x:c>
    </x:row>
    <x:row r="69" ht="29" customHeight="1">
      <x:c r="A69" s="4" t="str">
        <x:v>乌干达</x:v>
      </x:c>
      <x:c r="B69" s="10" t="n">
        <x:v>0.2</x:v>
      </x:c>
      <x:c r="C69" s="13" t="str">
        <x:v>UGX</x:v>
      </x:c>
      <x:c r="D69" s="15" t="n">
        <x:v>2399</x:v>
      </x:c>
      <x:c r="E69" s="15" t="n">
        <x:v>15900</x:v>
      </x:c>
      <x:c r="F69" s="15" t="n">
        <x:v>31900</x:v>
      </x:c>
      <x:c r="G69" s="24" t="n">
        <x:v>23900</x:v>
      </x:c>
      <x:c r="H69" s="15" t="n">
        <x:v>76900</x:v>
      </x:c>
      <x:c r="I69" s="15" t="n">
        <x:v>152900</x:v>
      </x:c>
      <x:c r="J69" s="24" t="n">
        <x:f>ROUND(G69*12,2)</x:f>
        <x:v>286800</x:v>
      </x:c>
      <x:c r="K69" s="15" t="n">
        <x:v>7999</x:v>
      </x:c>
      <x:c r="L69" s="15" t="n">
        <x:v>3999</x:v>
      </x:c>
      <x:c r="M69" s="15" t="n">
        <x:v>5599</x:v>
      </x:c>
      <x:c r="N69" s="15" t="n">
        <x:f>'Pass测算'!J13</x:f>
        <x:v>2400</x:v>
      </x:c>
      <x:c r="O69" s="13" t="str">
        <x:v>第3组</x:v>
      </x:c>
      <x:c r="P69" s="13" t="str">
        <x:v>Z020</x:v>
      </x:c>
      <x:c r="Q69" s="13" t="str">
        <x:v>已配置</x:v>
      </x:c>
      <x:c r="R69" s="29" t="n">
        <x:v>63900</x:v>
      </x:c>
      <x:c r="S69" s="29" t="n">
        <x:v>309000</x:v>
      </x:c>
    </x:row>
    <x:row r="70" ht="29" customHeight="1">
      <x:c r="A70" s="4" t="str">
        <x:v>委内瑞拉</x:v>
      </x:c>
      <x:c r="B70" s="10" t="n">
        <x:v>0.2</x:v>
      </x:c>
      <x:c r="C70" s="13" t="str">
        <x:v>USD</x:v>
      </x:c>
      <x:c r="D70" s="12" t="n">
        <x:v>0.59</x:v>
      </x:c>
      <x:c r="E70" s="12" t="n">
        <x:v>3.99</x:v>
      </x:c>
      <x:c r="F70" s="12" t="n">
        <x:v>7.99</x:v>
      </x:c>
      <x:c r="G70" s="23" t="n">
        <x:v>5.99</x:v>
      </x:c>
      <x:c r="H70" s="12" t="n">
        <x:v>18.99</x:v>
      </x:c>
      <x:c r="I70" s="12" t="n">
        <x:v>37.99</x:v>
      </x:c>
      <x:c r="J70" s="23" t="n">
        <x:f>ROUND(G70*12,2)</x:f>
        <x:v>71.88</x:v>
      </x:c>
      <x:c r="K70" s="12" t="n">
        <x:v>1.99</x:v>
      </x:c>
      <x:c r="L70" s="12" t="n">
        <x:v>0.99</x:v>
      </x:c>
      <x:c r="M70" s="12" t="n">
        <x:v>1.49</x:v>
      </x:c>
      <x:c r="N70" s="14" t="n">
        <x:f>'Pass测算'!J9</x:f>
        <x:v>0.6</x:v>
      </x:c>
      <x:c r="O70" s="13" t="str">
        <x:v>第3组</x:v>
      </x:c>
      <x:c r="P70" s="13" t="str">
        <x:v>Z020</x:v>
      </x:c>
      <x:c r="Q70" s="13" t="str">
        <x:v>USD替代已配置</x:v>
      </x:c>
      <x:c r="R70" s="28"/>
      <x:c r="S70" s="28"/>
    </x:row>
    <x:row r="71" ht="29" customHeight="1">
      <x:c r="A71" s="4" t="str">
        <x:v>赞比亚</x:v>
      </x:c>
      <x:c r="B71" s="10" t="n">
        <x:v>0.2</x:v>
      </x:c>
      <x:c r="C71" s="13" t="str">
        <x:v>ZMW</x:v>
      </x:c>
      <x:c r="D71" s="15" t="n">
        <x:v>12</x:v>
      </x:c>
      <x:c r="E71" s="15" t="n">
        <x:v>79</x:v>
      </x:c>
      <x:c r="F71" s="15" t="n">
        <x:v>159</x:v>
      </x:c>
      <x:c r="G71" s="24" t="n">
        <x:v>119</x:v>
      </x:c>
      <x:c r="H71" s="15" t="n">
        <x:v>379</x:v>
      </x:c>
      <x:c r="I71" s="15" t="n">
        <x:v>769</x:v>
      </x:c>
      <x:c r="J71" s="24" t="n">
        <x:f>ROUND(G71*12,2)</x:f>
        <x:v>1428</x:v>
      </x:c>
      <x:c r="K71" s="15" t="n">
        <x:v>39</x:v>
      </x:c>
      <x:c r="L71" s="15" t="n">
        <x:v>19</x:v>
      </x:c>
      <x:c r="M71" s="15" t="n">
        <x:v>29</x:v>
      </x:c>
      <x:c r="N71" s="15" t="n">
        <x:f>'Pass测算'!J14</x:f>
        <x:v>12</x:v>
      </x:c>
      <x:c r="O71" s="13" t="str">
        <x:v>第3组</x:v>
      </x:c>
      <x:c r="P71" s="13" t="str">
        <x:v>Z020</x:v>
      </x:c>
      <x:c r="Q71" s="13" t="str">
        <x:v>已配置</x:v>
      </x:c>
      <x:c r="R71" s="29" t="n">
        <x:v>319</x:v>
      </x:c>
      <x:c r="S71" s="29" t="n">
        <x:v>1499</x:v>
      </x:c>
    </x:row>
    <x:row r="72" ht="29" customHeight="1">
      <x:c r="A72" s="4" t="str">
        <x:v>阿富汗</x:v>
      </x:c>
      <x:c r="B72" s="10" t="n">
        <x:v>0.2</x:v>
      </x:c>
      <x:c r="C72" s="13" t="str">
        <x:v>AFN</x:v>
      </x:c>
      <x:c r="D72" s="15" t="n">
        <x:v>39</x:v>
      </x:c>
      <x:c r="E72" s="15" t="n">
        <x:v>259</x:v>
      </x:c>
      <x:c r="F72" s="15" t="n">
        <x:v>519</x:v>
      </x:c>
      <x:c r="G72" s="24" t="n">
        <x:v>389</x:v>
      </x:c>
      <x:c r="H72" s="15" t="n">
        <x:v>1249</x:v>
      </x:c>
      <x:c r="I72" s="15" t="n">
        <x:v>2499</x:v>
      </x:c>
      <x:c r="J72" s="24" t="n">
        <x:f>ROUND(G72*12,2)</x:f>
        <x:v>4668</x:v>
      </x:c>
      <x:c r="K72" s="15" t="n">
        <x:v>129</x:v>
      </x:c>
      <x:c r="L72" s="15" t="n">
        <x:v>69</x:v>
      </x:c>
      <x:c r="M72" s="15" t="n">
        <x:v>89</x:v>
      </x:c>
      <x:c r="N72" s="15" t="n">
        <x:f>'Pass测算'!J15</x:f>
        <x:v>39</x:v>
      </x:c>
      <x:c r="O72" s="13" t="str">
        <x:v>第3组</x:v>
      </x:c>
      <x:c r="P72" s="13" t="str">
        <x:v>Z020</x:v>
      </x:c>
      <x:c r="Q72" s="13" t="str">
        <x:v>已配置</x:v>
      </x:c>
      <x:c r="R72" s="29" t="n">
        <x:v>999</x:v>
      </x:c>
      <x:c r="S72" s="29" t="n">
        <x:v>4899</x:v>
      </x:c>
    </x:row>
    <x:row r="73" ht="29" customHeight="1">
      <x:c r="A73" s="4" t="str">
        <x:v>阿尔巴尼亚</x:v>
      </x:c>
      <x:c r="B73" s="10" t="n">
        <x:v>0.4</x:v>
      </x:c>
      <x:c r="C73" s="13" t="str">
        <x:v>ALL</x:v>
      </x:c>
      <x:c r="D73" s="15" t="n">
        <x:v>99</x:v>
      </x:c>
      <x:c r="E73" s="15" t="n">
        <x:v>649</x:v>
      </x:c>
      <x:c r="F73" s="15" t="n">
        <x:v>1299</x:v>
      </x:c>
      <x:c r="G73" s="24" t="n">
        <x:v>979</x:v>
      </x:c>
      <x:c r="H73" s="15" t="n">
        <x:v>3099</x:v>
      </x:c>
      <x:c r="I73" s="15" t="n">
        <x:v>6299</x:v>
      </x:c>
      <x:c r="J73" s="24" t="n">
        <x:f>ROUND(G73*12,2)</x:f>
        <x:v>11748</x:v>
      </x:c>
      <x:c r="K73" s="15" t="n">
        <x:v>329</x:v>
      </x:c>
      <x:c r="L73" s="15" t="n">
        <x:v>159</x:v>
      </x:c>
      <x:c r="M73" s="15" t="n">
        <x:v>229</x:v>
      </x:c>
      <x:c r="N73" s="15" t="n">
        <x:f>'Pass测算'!J55</x:f>
        <x:v>49</x:v>
      </x:c>
      <x:c r="O73" s="13" t="str">
        <x:v>第3组</x:v>
      </x:c>
      <x:c r="P73" s="13" t="str">
        <x:v>Z040</x:v>
      </x:c>
      <x:c r="Q73" s="13" t="str">
        <x:v>已配置</x:v>
      </x:c>
      <x:c r="R73" s="29" t="n">
        <x:v>2599</x:v>
      </x:c>
      <x:c r="S73" s="29" t="n">
        <x:v>12499</x:v>
      </x:c>
    </x:row>
    <x:row r="74" ht="29" customHeight="1">
      <x:c r="A74" s="4" t="str">
        <x:v>巴巴多斯</x:v>
      </x:c>
      <x:c r="B74" s="10" t="n">
        <x:v>0.55</x:v>
      </x:c>
      <x:c r="C74" s="13" t="str">
        <x:v>BBD</x:v>
      </x:c>
      <x:c r="D74" s="12" t="n">
        <x:v>3.49</x:v>
      </x:c>
      <x:c r="E74" s="12" t="n">
        <x:v>21.99</x:v>
      </x:c>
      <x:c r="F74" s="12" t="n">
        <x:v>43.99</x:v>
      </x:c>
      <x:c r="G74" s="23" t="n">
        <x:v>32.99</x:v>
      </x:c>
      <x:c r="H74" s="12" t="n">
        <x:v>104.99</x:v>
      </x:c>
      <x:c r="I74" s="12" t="n">
        <x:v>210.99</x:v>
      </x:c>
      <x:c r="J74" s="23" t="n">
        <x:f>ROUND(G74*12,2)</x:f>
        <x:v>395.88</x:v>
      </x:c>
      <x:c r="K74" s="12" t="n">
        <x:v>10.99</x:v>
      </x:c>
      <x:c r="L74" s="12" t="n">
        <x:v>5.49</x:v>
      </x:c>
      <x:c r="M74" s="12" t="n">
        <x:v>7.49</x:v>
      </x:c>
      <x:c r="N74" s="14" t="n">
        <x:f>'Pass测算'!J75</x:f>
        <x:v>1.3</x:v>
      </x:c>
      <x:c r="O74" s="13" t="str">
        <x:v>第3组</x:v>
      </x:c>
      <x:c r="P74" s="13" t="str">
        <x:v>Z055</x:v>
      </x:c>
      <x:c r="Q74" s="13" t="str">
        <x:v>已配置</x:v>
      </x:c>
      <x:c r="R74" s="28" t="n">
        <x:v>87.99</x:v>
      </x:c>
      <x:c r="S74" s="28" t="n">
        <x:v>421.99</x:v>
      </x:c>
    </x:row>
    <x:row r="75" ht="29" customHeight="1">
      <x:c r="A75" s="4" t="str">
        <x:v>比利时</x:v>
      </x:c>
      <x:c r="B75" s="10" t="n">
        <x:v>0.8</x:v>
      </x:c>
      <x:c r="C75" s="13" t="str">
        <x:v>EUR</x:v>
      </x:c>
      <x:c r="D75" s="12" t="n">
        <x:v>1.99</x:v>
      </x:c>
      <x:c r="E75" s="12" t="n">
        <x:v>13.99</x:v>
      </x:c>
      <x:c r="F75" s="12" t="n">
        <x:v>27.99</x:v>
      </x:c>
      <x:c r="G75" s="23" t="n">
        <x:v>20.99</x:v>
      </x:c>
      <x:c r="H75" s="12" t="n">
        <x:v>67.99</x:v>
      </x:c>
      <x:c r="I75" s="12" t="n">
        <x:v>136.99</x:v>
      </x:c>
      <x:c r="J75" s="23" t="n">
        <x:f>ROUND(G75*12,2)</x:f>
        <x:v>251.88</x:v>
      </x:c>
      <x:c r="K75" s="12" t="n">
        <x:v>6.99</x:v>
      </x:c>
      <x:c r="L75" s="12" t="n">
        <x:v>3.49</x:v>
      </x:c>
      <x:c r="M75" s="12" t="n">
        <x:v>4.99</x:v>
      </x:c>
      <x:c r="N75" s="14" t="n">
        <x:f>'Pass测算'!J90</x:f>
        <x:v>0.7</x:v>
      </x:c>
      <x:c r="O75" s="13" t="str">
        <x:v>第3组</x:v>
      </x:c>
      <x:c r="P75" s="13" t="str">
        <x:v>Z080</x:v>
      </x:c>
      <x:c r="Q75" s="13" t="str">
        <x:v>已配置</x:v>
      </x:c>
      <x:c r="R75" s="28" t="n">
        <x:v>56.99</x:v>
      </x:c>
      <x:c r="S75" s="28" t="n">
        <x:v>272.99</x:v>
      </x:c>
    </x:row>
    <x:row r="76" ht="29" customHeight="1">
      <x:c r="A76" s="4" t="str">
        <x:v>百慕大</x:v>
      </x:c>
      <x:c r="B76" s="10" t="n">
        <x:v>1</x:v>
      </x:c>
      <x:c r="C76" s="13" t="str">
        <x:v>BMD</x:v>
      </x:c>
      <x:c r="D76" s="12" t="n">
        <x:v>2.99</x:v>
      </x:c>
      <x:c r="E76" s="12" t="n">
        <x:v>19.99</x:v>
      </x:c>
      <x:c r="F76" s="12" t="n">
        <x:v>39.99</x:v>
      </x:c>
      <x:c r="G76" s="23" t="n">
        <x:v>29.99</x:v>
      </x:c>
      <x:c r="H76" s="12" t="n">
        <x:v>95.99</x:v>
      </x:c>
      <x:c r="I76" s="12" t="n">
        <x:v>191.99</x:v>
      </x:c>
      <x:c r="J76" s="23" t="n">
        <x:f>ROUND(G76*12,2)</x:f>
        <x:v>359.88</x:v>
      </x:c>
      <x:c r="K76" s="12" t="n">
        <x:v>9.99</x:v>
      </x:c>
      <x:c r="L76" s="12" t="n">
        <x:v>4.99</x:v>
      </x:c>
      <x:c r="M76" s="12" t="n">
        <x:v>6.99</x:v>
      </x:c>
      <x:c r="N76" s="14" t="n">
        <x:f>'Pass测算'!J103</x:f>
        <x:v>0.99</x:v>
      </x:c>
      <x:c r="O76" s="13" t="str">
        <x:v>第3组</x:v>
      </x:c>
      <x:c r="P76" s="13" t="str">
        <x:v>Z100</x:v>
      </x:c>
      <x:c r="Q76" s="13" t="str">
        <x:v>已配置</x:v>
      </x:c>
      <x:c r="R76" s="28" t="n">
        <x:v>79.99</x:v>
      </x:c>
      <x:c r="S76" s="28" t="n">
        <x:v>383.99</x:v>
      </x:c>
    </x:row>
    <x:row r="77" ht="29" customHeight="1">
      <x:c r="A77" s="4" t="str">
        <x:v>文莱</x:v>
      </x:c>
      <x:c r="B77" s="10" t="n">
        <x:v>0.55</x:v>
      </x:c>
      <x:c r="C77" s="13" t="str">
        <x:v>BND</x:v>
      </x:c>
      <x:c r="D77" s="12" t="n">
        <x:v>1.99</x:v>
      </x:c>
      <x:c r="E77" s="12" t="n">
        <x:v>13.99</x:v>
      </x:c>
      <x:c r="F77" s="12" t="n">
        <x:v>27.99</x:v>
      </x:c>
      <x:c r="G77" s="23" t="n">
        <x:v>20.99</x:v>
      </x:c>
      <x:c r="H77" s="12" t="n">
        <x:v>67.99</x:v>
      </x:c>
      <x:c r="I77" s="12" t="n">
        <x:v>134.99</x:v>
      </x:c>
      <x:c r="J77" s="23" t="n">
        <x:f>ROUND(G77*12,2)</x:f>
        <x:v>251.88</x:v>
      </x:c>
      <x:c r="K77" s="12" t="n">
        <x:v>6.99</x:v>
      </x:c>
      <x:c r="L77" s="12" t="n">
        <x:v>3.49</x:v>
      </x:c>
      <x:c r="M77" s="12" t="n">
        <x:v>4.99</x:v>
      </x:c>
      <x:c r="N77" s="14" t="n">
        <x:f>'Pass测算'!J76</x:f>
        <x:v>0.77</x:v>
      </x:c>
      <x:c r="O77" s="13" t="str">
        <x:v>第3组</x:v>
      </x:c>
      <x:c r="P77" s="13" t="str">
        <x:v>Z055</x:v>
      </x:c>
      <x:c r="Q77" s="13" t="str">
        <x:v>已配置</x:v>
      </x:c>
      <x:c r="R77" s="28" t="n">
        <x:v>55.99</x:v>
      </x:c>
      <x:c r="S77" s="28" t="n">
        <x:v>269.99</x:v>
      </x:c>
    </x:row>
    <x:row r="78" ht="29" customHeight="1">
      <x:c r="A78" s="4" t="str">
        <x:v>柬埔寨</x:v>
      </x:c>
      <x:c r="B78" s="10" t="n">
        <x:v>0.25</x:v>
      </x:c>
      <x:c r="C78" s="13" t="str">
        <x:v>KHR</x:v>
      </x:c>
      <x:c r="D78" s="15" t="n">
        <x:v>2999</x:v>
      </x:c>
      <x:c r="E78" s="15" t="n">
        <x:v>19900</x:v>
      </x:c>
      <x:c r="F78" s="15" t="n">
        <x:v>40900</x:v>
      </x:c>
      <x:c r="G78" s="24" t="n">
        <x:v>30900</x:v>
      </x:c>
      <x:c r="H78" s="15" t="n">
        <x:v>96900</x:v>
      </x:c>
      <x:c r="I78" s="15" t="n">
        <x:v>199000</x:v>
      </x:c>
      <x:c r="J78" s="24" t="n">
        <x:f>ROUND(G78*12,2)</x:f>
        <x:v>370800</x:v>
      </x:c>
      <x:c r="K78" s="15" t="n">
        <x:v>9900</x:v>
      </x:c>
      <x:c r="L78" s="15" t="n">
        <x:v>5099</x:v>
      </x:c>
      <x:c r="M78" s="15" t="n">
        <x:v>7099</x:v>
      </x:c>
      <x:c r="N78" s="15" t="n">
        <x:f>'Pass测算'!J29</x:f>
        <x:v>2400</x:v>
      </x:c>
      <x:c r="O78" s="13" t="str">
        <x:v>第3组</x:v>
      </x:c>
      <x:c r="P78" s="13" t="str">
        <x:v>Z025</x:v>
      </x:c>
      <x:c r="Q78" s="13" t="str">
        <x:v>已配置</x:v>
      </x:c>
      <x:c r="R78" s="29" t="n">
        <x:v>80900</x:v>
      </x:c>
      <x:c r="S78" s="29" t="n">
        <x:v>389000</x:v>
      </x:c>
    </x:row>
    <x:row r="79" ht="29" customHeight="1">
      <x:c r="A79" s="4" t="str">
        <x:v>喀麦隆</x:v>
      </x:c>
      <x:c r="B79" s="10" t="n">
        <x:v>0.2</x:v>
      </x:c>
      <x:c r="C79" s="13" t="str">
        <x:v>XAF</x:v>
      </x:c>
      <x:c r="D79" s="15" t="n">
        <x:v>349</x:v>
      </x:c>
      <x:c r="E79" s="15" t="n">
        <x:v>2299</x:v>
      </x:c>
      <x:c r="F79" s="15" t="n">
        <x:v>4699</x:v>
      </x:c>
      <x:c r="G79" s="24" t="n">
        <x:v>3499</x:v>
      </x:c>
      <x:c r="H79" s="15" t="n">
        <x:v>10900</x:v>
      </x:c>
      <x:c r="I79" s="15" t="n">
        <x:v>22900</x:v>
      </x:c>
      <x:c r="J79" s="24" t="n">
        <x:f>ROUND(G79*12,2)</x:f>
        <x:v>41988</x:v>
      </x:c>
      <x:c r="K79" s="15" t="n">
        <x:v>1199</x:v>
      </x:c>
      <x:c r="L79" s="15" t="n">
        <x:v>579</x:v>
      </x:c>
      <x:c r="M79" s="15" t="n">
        <x:v>819</x:v>
      </x:c>
      <x:c r="N79" s="15" t="n">
        <x:f>'Pass测算'!J16</x:f>
        <x:v>350</x:v>
      </x:c>
      <x:c r="O79" s="13" t="str">
        <x:v>第3组</x:v>
      </x:c>
      <x:c r="P79" s="13" t="str">
        <x:v>Z020</x:v>
      </x:c>
      <x:c r="Q79" s="13" t="str">
        <x:v>已配置</x:v>
      </x:c>
      <x:c r="R79" s="29" t="n">
        <x:v>9299</x:v>
      </x:c>
      <x:c r="S79" s="29" t="n">
        <x:v>44900</x:v>
      </x:c>
    </x:row>
    <x:row r="80" ht="29" customHeight="1">
      <x:c r="A80" s="4" t="str">
        <x:v>智利</x:v>
      </x:c>
      <x:c r="B80" s="10" t="n">
        <x:v>0.45</x:v>
      </x:c>
      <x:c r="C80" s="13" t="str">
        <x:v>CLP</x:v>
      </x:c>
      <x:c r="D80" s="15" t="n">
        <x:v>1299</x:v>
      </x:c>
      <x:c r="E80" s="15" t="n">
        <x:v>8799</x:v>
      </x:c>
      <x:c r="F80" s="15" t="n">
        <x:v>17900</x:v>
      </x:c>
      <x:c r="G80" s="24" t="n">
        <x:v>12900</x:v>
      </x:c>
      <x:c r="H80" s="15" t="n">
        <x:v>41900</x:v>
      </x:c>
      <x:c r="I80" s="15" t="n">
        <x:v>84900</x:v>
      </x:c>
      <x:c r="J80" s="24" t="n">
        <x:f>ROUND(G80*12,2)</x:f>
        <x:v>154800</x:v>
      </x:c>
      <x:c r="K80" s="15" t="n">
        <x:v>4399</x:v>
      </x:c>
      <x:c r="L80" s="15" t="n">
        <x:v>2199</x:v>
      </x:c>
      <x:c r="M80" s="15" t="n">
        <x:v>3099</x:v>
      </x:c>
      <x:c r="N80" s="15" t="n">
        <x:f>'Pass测算'!J64</x:f>
        <x:v>590</x:v>
      </x:c>
      <x:c r="O80" s="13" t="str">
        <x:v>第3组</x:v>
      </x:c>
      <x:c r="P80" s="13" t="str">
        <x:v>Z045</x:v>
      </x:c>
      <x:c r="Q80" s="13" t="str">
        <x:v>已配置</x:v>
      </x:c>
      <x:c r="R80" s="29" t="n">
        <x:v>34900</x:v>
      </x:c>
      <x:c r="S80" s="29" t="n">
        <x:v>169000</x:v>
      </x:c>
    </x:row>
    <x:row r="81" ht="29" customHeight="1">
      <x:c r="A81" s="4" t="str">
        <x:v>哥斯达黎加</x:v>
      </x:c>
      <x:c r="B81" s="10" t="n">
        <x:v>0.5</x:v>
      </x:c>
      <x:c r="C81" s="13" t="str">
        <x:v>CRC</x:v>
      </x:c>
      <x:c r="D81" s="15" t="n">
        <x:v>679</x:v>
      </x:c>
      <x:c r="E81" s="15" t="n">
        <x:v>4599</x:v>
      </x:c>
      <x:c r="F81" s="15" t="n">
        <x:v>9099</x:v>
      </x:c>
      <x:c r="G81" s="24" t="n">
        <x:v>6799</x:v>
      </x:c>
      <x:c r="H81" s="15" t="n">
        <x:v>21900</x:v>
      </x:c>
      <x:c r="I81" s="15" t="n">
        <x:v>43900</x:v>
      </x:c>
      <x:c r="J81" s="24" t="n">
        <x:f>ROUND(G81*12,2)</x:f>
        <x:v>81588</x:v>
      </x:c>
      <x:c r="K81" s="15" t="n">
        <x:v>2299</x:v>
      </x:c>
      <x:c r="L81" s="15" t="n">
        <x:v>1099</x:v>
      </x:c>
      <x:c r="M81" s="15" t="n">
        <x:v>1599</x:v>
      </x:c>
      <x:c r="N81" s="15" t="n">
        <x:f>'Pass测算'!J67</x:f>
        <x:v>280</x:v>
      </x:c>
      <x:c r="O81" s="13" t="str">
        <x:v>第3组</x:v>
      </x:c>
      <x:c r="P81" s="13" t="str">
        <x:v>Z050</x:v>
      </x:c>
      <x:c r="Q81" s="13" t="str">
        <x:v>已配置</x:v>
      </x:c>
      <x:c r="R81" s="29" t="n">
        <x:v>17900</x:v>
      </x:c>
      <x:c r="S81" s="29" t="n">
        <x:v>87900</x:v>
      </x:c>
    </x:row>
    <x:row r="82" ht="29" customHeight="1">
      <x:c r="A82" s="4" t="str">
        <x:v>克罗地亚</x:v>
      </x:c>
      <x:c r="B82" s="10" t="n">
        <x:v>0.5</x:v>
      </x:c>
      <x:c r="C82" s="13" t="str">
        <x:v>EUR</x:v>
      </x:c>
      <x:c r="D82" s="12" t="n">
        <x:v>1.29</x:v>
      </x:c>
      <x:c r="E82" s="12" t="n">
        <x:v>8.99</x:v>
      </x:c>
      <x:c r="F82" s="12" t="n">
        <x:v>17.99</x:v>
      </x:c>
      <x:c r="G82" s="23" t="n">
        <x:v>12.99</x:v>
      </x:c>
      <x:c r="H82" s="12" t="n">
        <x:v>42.99</x:v>
      </x:c>
      <x:c r="I82" s="12" t="n">
        <x:v>84.99</x:v>
      </x:c>
      <x:c r="J82" s="23" t="n">
        <x:f>ROUND(G82*12,2)</x:f>
        <x:v>155.88</x:v>
      </x:c>
      <x:c r="K82" s="12" t="n">
        <x:v>4.49</x:v>
      </x:c>
      <x:c r="L82" s="12" t="n">
        <x:v>2.19</x:v>
      </x:c>
      <x:c r="M82" s="12" t="n">
        <x:v>2.99</x:v>
      </x:c>
      <x:c r="N82" s="14" t="n">
        <x:f>'Pass测算'!J68</x:f>
        <x:v>0.53</x:v>
      </x:c>
      <x:c r="O82" s="13" t="str">
        <x:v>第3组</x:v>
      </x:c>
      <x:c r="P82" s="13" t="str">
        <x:v>Z050</x:v>
      </x:c>
      <x:c r="Q82" s="13" t="str">
        <x:v>已配置</x:v>
      </x:c>
      <x:c r="R82" s="28" t="n">
        <x:v>35.99</x:v>
      </x:c>
      <x:c r="S82" s="28" t="n">
        <x:v>170.99</x:v>
      </x:c>
    </x:row>
    <x:row r="83" ht="29" customHeight="1">
      <x:c r="A83" s="4" t="str">
        <x:v>萨尔瓦多</x:v>
      </x:c>
      <x:c r="B83" s="10" t="n">
        <x:v>0.35</x:v>
      </x:c>
      <x:c r="C83" s="13" t="str">
        <x:v>USD</x:v>
      </x:c>
      <x:c r="D83" s="12" t="n">
        <x:v>0.99</x:v>
      </x:c>
      <x:c r="E83" s="12" t="n">
        <x:v>6.99</x:v>
      </x:c>
      <x:c r="F83" s="12" t="n">
        <x:v>13.99</x:v>
      </x:c>
      <x:c r="G83" s="23" t="n">
        <x:v>10.99</x:v>
      </x:c>
      <x:c r="H83" s="12" t="n">
        <x:v>33.99</x:v>
      </x:c>
      <x:c r="I83" s="12" t="n">
        <x:v>66.99</x:v>
      </x:c>
      <x:c r="J83" s="23" t="n">
        <x:f>ROUND(G83*12,2)</x:f>
        <x:v>131.88</x:v>
      </x:c>
      <x:c r="K83" s="12" t="n">
        <x:v>3.49</x:v>
      </x:c>
      <x:c r="L83" s="12" t="n">
        <x:v>1.79</x:v>
      </x:c>
      <x:c r="M83" s="12" t="n">
        <x:v>2.49</x:v>
      </x:c>
      <x:c r="N83" s="14" t="n">
        <x:f>'Pass测算'!J42</x:f>
        <x:v>0.6</x:v>
      </x:c>
      <x:c r="O83" s="13" t="str">
        <x:v>第3组</x:v>
      </x:c>
      <x:c r="P83" s="13" t="str">
        <x:v>Z035</x:v>
      </x:c>
      <x:c r="Q83" s="13" t="str">
        <x:v>已配置</x:v>
      </x:c>
      <x:c r="R83" s="28" t="n">
        <x:v>27.99</x:v>
      </x:c>
      <x:c r="S83" s="28" t="n">
        <x:v>133.99</x:v>
      </x:c>
    </x:row>
    <x:row r="84" ht="29" customHeight="1">
      <x:c r="A84" s="4" t="str">
        <x:v>芬兰</x:v>
      </x:c>
      <x:c r="B84" s="10" t="n">
        <x:v>0.8</x:v>
      </x:c>
      <x:c r="C84" s="13" t="str">
        <x:v>EUR</x:v>
      </x:c>
      <x:c r="D84" s="12" t="n">
        <x:v>1.99</x:v>
      </x:c>
      <x:c r="E84" s="12" t="n">
        <x:v>13.99</x:v>
      </x:c>
      <x:c r="F84" s="12" t="n">
        <x:v>27.99</x:v>
      </x:c>
      <x:c r="G84" s="23" t="n">
        <x:v>20.99</x:v>
      </x:c>
      <x:c r="H84" s="12" t="n">
        <x:v>67.99</x:v>
      </x:c>
      <x:c r="I84" s="12" t="n">
        <x:v>136.99</x:v>
      </x:c>
      <x:c r="J84" s="23" t="n">
        <x:f>ROUND(G84*12,2)</x:f>
        <x:v>251.88</x:v>
      </x:c>
      <x:c r="K84" s="12" t="n">
        <x:v>6.99</x:v>
      </x:c>
      <x:c r="L84" s="12" t="n">
        <x:v>3.49</x:v>
      </x:c>
      <x:c r="M84" s="12" t="n">
        <x:v>4.99</x:v>
      </x:c>
      <x:c r="N84" s="14" t="n">
        <x:f>'Pass测算'!J90</x:f>
        <x:v>0.7</x:v>
      </x:c>
      <x:c r="O84" s="13" t="str">
        <x:v>第3组</x:v>
      </x:c>
      <x:c r="P84" s="13" t="str">
        <x:v>Z080</x:v>
      </x:c>
      <x:c r="Q84" s="13" t="str">
        <x:v>已配置</x:v>
      </x:c>
      <x:c r="R84" s="28" t="n">
        <x:v>56.99</x:v>
      </x:c>
      <x:c r="S84" s="28" t="n">
        <x:v>272.99</x:v>
      </x:c>
    </x:row>
    <x:row r="85" ht="29" customHeight="1">
      <x:c r="A85" s="4" t="str">
        <x:v>加蓬</x:v>
      </x:c>
      <x:c r="B85" s="10" t="n">
        <x:v>0.35</x:v>
      </x:c>
      <x:c r="C85" s="13" t="str">
        <x:v>XAF</x:v>
      </x:c>
      <x:c r="D85" s="15" t="n">
        <x:v>609</x:v>
      </x:c>
      <x:c r="E85" s="15" t="n">
        <x:v>4099</x:v>
      </x:c>
      <x:c r="F85" s="15" t="n">
        <x:v>8199</x:v>
      </x:c>
      <x:c r="G85" s="24" t="n">
        <x:v>6099</x:v>
      </x:c>
      <x:c r="H85" s="15" t="n">
        <x:v>19900</x:v>
      </x:c>
      <x:c r="I85" s="15" t="n">
        <x:v>38900</x:v>
      </x:c>
      <x:c r="J85" s="24" t="n">
        <x:f>ROUND(G85*12,2)</x:f>
        <x:v>73188</x:v>
      </x:c>
      <x:c r="K85" s="15" t="n">
        <x:v>1999</x:v>
      </x:c>
      <x:c r="L85" s="15" t="n">
        <x:v>999</x:v>
      </x:c>
      <x:c r="M85" s="15" t="n">
        <x:v>1399</x:v>
      </x:c>
      <x:c r="N85" s="15" t="n">
        <x:f>'Pass测算'!J45</x:f>
        <x:v>350</x:v>
      </x:c>
      <x:c r="O85" s="13" t="str">
        <x:v>第3组</x:v>
      </x:c>
      <x:c r="P85" s="13" t="str">
        <x:v>Z035</x:v>
      </x:c>
      <x:c r="Q85" s="13" t="str">
        <x:v>已配置</x:v>
      </x:c>
      <x:c r="R85" s="29" t="n">
        <x:v>15900</x:v>
      </x:c>
      <x:c r="S85" s="29" t="n">
        <x:v>77900</x:v>
      </x:c>
    </x:row>
    <x:row r="86" ht="29" customHeight="1">
      <x:c r="A86" s="4" t="str">
        <x:v>格鲁吉亚</x:v>
      </x:c>
      <x:c r="B86" s="10" t="n">
        <x:v>0.35</x:v>
      </x:c>
      <x:c r="C86" s="13" t="str">
        <x:v>GEL</x:v>
      </x:c>
      <x:c r="D86" s="12" t="n">
        <x:v>2.49</x:v>
      </x:c>
      <x:c r="E86" s="12" t="n">
        <x:v>17.99</x:v>
      </x:c>
      <x:c r="F86" s="12" t="n">
        <x:v>35.99</x:v>
      </x:c>
      <x:c r="G86" s="23" t="n">
        <x:v>26.99</x:v>
      </x:c>
      <x:c r="H86" s="12" t="n">
        <x:v>86.99</x:v>
      </x:c>
      <x:c r="I86" s="12" t="n">
        <x:v>173.99</x:v>
      </x:c>
      <x:c r="J86" s="23" t="n">
        <x:f>ROUND(G86*12,2)</x:f>
        <x:v>323.88</x:v>
      </x:c>
      <x:c r="K86" s="12" t="n">
        <x:v>8.99</x:v>
      </x:c>
      <x:c r="L86" s="12" t="n">
        <x:v>4.49</x:v>
      </x:c>
      <x:c r="M86" s="12" t="n">
        <x:v>6.49</x:v>
      </x:c>
      <x:c r="N86" s="14" t="n">
        <x:f>'Pass测算'!J46</x:f>
        <x:v>1.6</x:v>
      </x:c>
      <x:c r="O86" s="13" t="str">
        <x:v>第3组</x:v>
      </x:c>
      <x:c r="P86" s="13" t="str">
        <x:v>Z035</x:v>
      </x:c>
      <x:c r="Q86" s="13" t="str">
        <x:v>已配置</x:v>
      </x:c>
      <x:c r="R86" s="28" t="n">
        <x:v>72.99</x:v>
      </x:c>
      <x:c r="S86" s="28" t="n">
        <x:v>348.99</x:v>
      </x:c>
    </x:row>
    <x:row r="87" ht="29" customHeight="1">
      <x:c r="A87" s="4" t="str">
        <x:v>洪都拉斯</x:v>
      </x:c>
      <x:c r="B87" s="10" t="n">
        <x:v>0.3</x:v>
      </x:c>
      <x:c r="C87" s="13" t="str">
        <x:v>HNL</x:v>
      </x:c>
      <x:c r="D87" s="15" t="n">
        <x:v>24</x:v>
      </x:c>
      <x:c r="E87" s="15" t="n">
        <x:v>159</x:v>
      </x:c>
      <x:c r="F87" s="15" t="n">
        <x:v>319</x:v>
      </x:c>
      <x:c r="G87" s="24" t="n">
        <x:v>239</x:v>
      </x:c>
      <x:c r="H87" s="15" t="n">
        <x:v>769</x:v>
      </x:c>
      <x:c r="I87" s="15" t="n">
        <x:v>1499</x:v>
      </x:c>
      <x:c r="J87" s="24" t="n">
        <x:f>ROUND(G87*12,2)</x:f>
        <x:v>2868</x:v>
      </x:c>
      <x:c r="K87" s="15" t="n">
        <x:v>79</x:v>
      </x:c>
      <x:c r="L87" s="15" t="n">
        <x:v>39</x:v>
      </x:c>
      <x:c r="M87" s="15" t="n">
        <x:v>59</x:v>
      </x:c>
      <x:c r="N87" s="15" t="n">
        <x:f>'Pass测算'!J37</x:f>
        <x:v>16</x:v>
      </x:c>
      <x:c r="O87" s="13" t="str">
        <x:v>第3组</x:v>
      </x:c>
      <x:c r="P87" s="13" t="str">
        <x:v>Z030</x:v>
      </x:c>
      <x:c r="Q87" s="13" t="str">
        <x:v>已配置</x:v>
      </x:c>
      <x:c r="R87" s="29" t="n">
        <x:v>649</x:v>
      </x:c>
      <x:c r="S87" s="29" t="n">
        <x:v>3099</x:v>
      </x:c>
    </x:row>
    <x:row r="88" ht="29" customHeight="1">
      <x:c r="A88" s="4" t="str">
        <x:v>匈牙利</x:v>
      </x:c>
      <x:c r="B88" s="10" t="n">
        <x:v>0.5</x:v>
      </x:c>
      <x:c r="C88" s="13" t="str">
        <x:v>HUF</x:v>
      </x:c>
      <x:c r="D88" s="15" t="n">
        <x:v>479</x:v>
      </x:c>
      <x:c r="E88" s="15" t="n">
        <x:v>3199</x:v>
      </x:c>
      <x:c r="F88" s="15" t="n">
        <x:v>6499</x:v>
      </x:c>
      <x:c r="G88" s="24" t="n">
        <x:v>4799</x:v>
      </x:c>
      <x:c r="H88" s="15" t="n">
        <x:v>15499</x:v>
      </x:c>
      <x:c r="I88" s="15" t="n">
        <x:v>30900</x:v>
      </x:c>
      <x:c r="J88" s="24" t="n">
        <x:f>ROUND(G88*12,2)</x:f>
        <x:v>57588</x:v>
      </x:c>
      <x:c r="K88" s="15" t="n">
        <x:v>1599</x:v>
      </x:c>
      <x:c r="L88" s="15" t="n">
        <x:v>809</x:v>
      </x:c>
      <x:c r="M88" s="15" t="n">
        <x:v>1099</x:v>
      </x:c>
      <x:c r="N88" s="15" t="n">
        <x:f>'Pass测算'!J69</x:f>
        <x:v>200</x:v>
      </x:c>
      <x:c r="O88" s="13" t="str">
        <x:v>第3组</x:v>
      </x:c>
      <x:c r="P88" s="13" t="str">
        <x:v>Z050</x:v>
      </x:c>
      <x:c r="Q88" s="13" t="str">
        <x:v>已配置</x:v>
      </x:c>
      <x:c r="R88" s="29" t="n">
        <x:v>12900</x:v>
      </x:c>
      <x:c r="S88" s="29" t="n">
        <x:v>61900</x:v>
      </x:c>
    </x:row>
    <x:row r="89" ht="29" customHeight="1">
      <x:c r="A89" s="4" t="str">
        <x:v>科特迪瓦</x:v>
      </x:c>
      <x:c r="B89" s="10" t="n">
        <x:v>0.25</x:v>
      </x:c>
      <x:c r="C89" s="13" t="str">
        <x:v>XOF</x:v>
      </x:c>
      <x:c r="D89" s="15" t="n">
        <x:v>439</x:v>
      </x:c>
      <x:c r="E89" s="15" t="n">
        <x:v>2899</x:v>
      </x:c>
      <x:c r="F89" s="15" t="n">
        <x:v>5799</x:v>
      </x:c>
      <x:c r="G89" s="24" t="n">
        <x:v>4399</x:v>
      </x:c>
      <x:c r="H89" s="15" t="n">
        <x:v>13900</x:v>
      </x:c>
      <x:c r="I89" s="15" t="n">
        <x:v>27900</x:v>
      </x:c>
      <x:c r="J89" s="24" t="n">
        <x:f>ROUND(G89*12,2)</x:f>
        <x:v>52788</x:v>
      </x:c>
      <x:c r="K89" s="15" t="n">
        <x:v>1499</x:v>
      </x:c>
      <x:c r="L89" s="15" t="n">
        <x:v>729</x:v>
      </x:c>
      <x:c r="M89" s="15" t="n">
        <x:v>999</x:v>
      </x:c>
      <x:c r="N89" s="15" t="n">
        <x:f>'Pass测算'!J30</x:f>
        <x:v>350</x:v>
      </x:c>
      <x:c r="O89" s="13" t="str">
        <x:v>第3组</x:v>
      </x:c>
      <x:c r="P89" s="13" t="str">
        <x:v>Z025</x:v>
      </x:c>
      <x:c r="Q89" s="13" t="str">
        <x:v>已配置</x:v>
      </x:c>
      <x:c r="R89" s="29" t="n">
        <x:v>11900</x:v>
      </x:c>
      <x:c r="S89" s="29" t="n">
        <x:v>55900</x:v>
      </x:c>
    </x:row>
    <x:row r="90" ht="29" customHeight="1">
      <x:c r="A90" s="4" t="str">
        <x:v>哈萨克斯坦</x:v>
      </x:c>
      <x:c r="B90" s="10" t="n">
        <x:v>0.4</x:v>
      </x:c>
      <x:c r="C90" s="13" t="str">
        <x:v>KZT</x:v>
      </x:c>
      <x:c r="D90" s="15" t="n">
        <x:v>539</x:v>
      </x:c>
      <x:c r="E90" s="15" t="n">
        <x:v>3599</x:v>
      </x:c>
      <x:c r="F90" s="15" t="n">
        <x:v>7199</x:v>
      </x:c>
      <x:c r="G90" s="24" t="n">
        <x:v>5399</x:v>
      </x:c>
      <x:c r="H90" s="15" t="n">
        <x:v>16900</x:v>
      </x:c>
      <x:c r="I90" s="15" t="n">
        <x:v>34900</x:v>
      </x:c>
      <x:c r="J90" s="24" t="n">
        <x:f>ROUND(G90*12,2)</x:f>
        <x:v>64788</x:v>
      </x:c>
      <x:c r="K90" s="15" t="n">
        <x:v>1799</x:v>
      </x:c>
      <x:c r="L90" s="15" t="n">
        <x:v>899</x:v>
      </x:c>
      <x:c r="M90" s="15" t="n">
        <x:v>1299</x:v>
      </x:c>
      <x:c r="N90" s="15" t="n">
        <x:f>'Pass测算'!J56</x:f>
        <x:v>280</x:v>
      </x:c>
      <x:c r="O90" s="13" t="str">
        <x:v>第3组</x:v>
      </x:c>
      <x:c r="P90" s="13" t="str">
        <x:v>Z040</x:v>
      </x:c>
      <x:c r="Q90" s="13" t="str">
        <x:v>已配置</x:v>
      </x:c>
      <x:c r="R90" s="29" t="n">
        <x:v>14900</x:v>
      </x:c>
      <x:c r="S90" s="29" t="n">
        <x:v>69900</x:v>
      </x:c>
    </x:row>
    <x:row r="91" ht="29" customHeight="1">
      <x:c r="A91" s="4" t="str">
        <x:v>科威特</x:v>
      </x:c>
      <x:c r="B91" s="10" t="n">
        <x:v>0.65</x:v>
      </x:c>
      <x:c r="C91" s="13" t="str">
        <x:v>USD</x:v>
      </x:c>
      <x:c r="D91" s="12" t="n">
        <x:v>1.95</x:v>
      </x:c>
      <x:c r="E91" s="12" t="n">
        <x:v>12.99</x:v>
      </x:c>
      <x:c r="F91" s="12" t="n">
        <x:v>25.99</x:v>
      </x:c>
      <x:c r="G91" s="23" t="n">
        <x:v>19.49</x:v>
      </x:c>
      <x:c r="H91" s="12" t="n">
        <x:v>62.3</x:v>
      </x:c>
      <x:c r="I91" s="12" t="n">
        <x:v>124.7</x:v>
      </x:c>
      <x:c r="J91" s="23" t="n">
        <x:f>ROUND(G91*12,2)</x:f>
        <x:v>233.88</x:v>
      </x:c>
      <x:c r="K91" s="12" t="n">
        <x:v>6.49</x:v>
      </x:c>
      <x:c r="L91" s="12" t="n">
        <x:v>3.25</x:v>
      </x:c>
      <x:c r="M91" s="12" t="n">
        <x:v>4.55</x:v>
      </x:c>
      <x:c r="N91" s="14" t="n">
        <x:f>'Pass测算'!J85</x:f>
        <x:v>0.65</x:v>
      </x:c>
      <x:c r="O91" s="13" t="str">
        <x:v>第3组</x:v>
      </x:c>
      <x:c r="P91" s="13" t="str">
        <x:v>Z065</x:v>
      </x:c>
      <x:c r="Q91" s="13" t="str">
        <x:v>USD替代已配置</x:v>
      </x:c>
      <x:c r="R91" s="28"/>
      <x:c r="S91" s="28"/>
    </x:row>
    <x:row r="92" ht="29" customHeight="1">
      <x:c r="A92" s="4" t="str">
        <x:v>老挝</x:v>
      </x:c>
      <x:c r="B92" s="10" t="n">
        <x:v>0.2</x:v>
      </x:c>
      <x:c r="C92" s="13" t="str">
        <x:v>LAK</x:v>
      </x:c>
      <x:c r="D92" s="15" t="n">
        <x:v>12900</x:v>
      </x:c>
      <x:c r="E92" s="15" t="n">
        <x:v>88900</x:v>
      </x:c>
      <x:c r="F92" s="15" t="n">
        <x:v>179000</x:v>
      </x:c>
      <x:c r="G92" s="24" t="n">
        <x:v>129000</x:v>
      </x:c>
      <x:c r="H92" s="15" t="n">
        <x:v>429000</x:v>
      </x:c>
      <x:c r="I92" s="15" t="n">
        <x:v>859000</x:v>
      </x:c>
      <x:c r="J92" s="24" t="n">
        <x:f>ROUND(G92*12,2)</x:f>
        <x:v>1548000</x:v>
      </x:c>
      <x:c r="K92" s="15" t="n">
        <x:v>44900</x:v>
      </x:c>
      <x:c r="L92" s="15" t="n">
        <x:v>21900</x:v>
      </x:c>
      <x:c r="M92" s="15" t="n">
        <x:v>30900</x:v>
      </x:c>
      <x:c r="N92" s="15" t="n">
        <x:f>'Pass测算'!J17</x:f>
        <x:v>13400</x:v>
      </x:c>
      <x:c r="O92" s="13" t="str">
        <x:v>第3组</x:v>
      </x:c>
      <x:c r="P92" s="13" t="str">
        <x:v>Z020</x:v>
      </x:c>
      <x:c r="Q92" s="13" t="str">
        <x:v>已配置</x:v>
      </x:c>
      <x:c r="R92" s="29" t="n">
        <x:v>359000</x:v>
      </x:c>
      <x:c r="S92" s="29" t="n">
        <x:v>1690000</x:v>
      </x:c>
    </x:row>
    <x:row r="93" ht="29" customHeight="1">
      <x:c r="A93" s="4" t="str">
        <x:v>拉脱维亚</x:v>
      </x:c>
      <x:c r="B93" s="10" t="n">
        <x:v>0.55</x:v>
      </x:c>
      <x:c r="C93" s="13" t="str">
        <x:v>EUR</x:v>
      </x:c>
      <x:c r="D93" s="12" t="n">
        <x:v>1.49</x:v>
      </x:c>
      <x:c r="E93" s="12" t="n">
        <x:v>9.99</x:v>
      </x:c>
      <x:c r="F93" s="12" t="n">
        <x:v>19.99</x:v>
      </x:c>
      <x:c r="G93" s="23" t="n">
        <x:v>14.99</x:v>
      </x:c>
      <x:c r="H93" s="12" t="n">
        <x:v>46.99</x:v>
      </x:c>
      <x:c r="I93" s="12" t="n">
        <x:v>93.99</x:v>
      </x:c>
      <x:c r="J93" s="23" t="n">
        <x:f>ROUND(G93*12,2)</x:f>
        <x:v>179.88</x:v>
      </x:c>
      <x:c r="K93" s="12" t="n">
        <x:v>4.99</x:v>
      </x:c>
      <x:c r="L93" s="12" t="n">
        <x:v>2.49</x:v>
      </x:c>
      <x:c r="M93" s="12" t="n">
        <x:v>3.49</x:v>
      </x:c>
      <x:c r="N93" s="14" t="n">
        <x:f>'Pass测算'!J74</x:f>
        <x:v>0.53</x:v>
      </x:c>
      <x:c r="O93" s="13" t="str">
        <x:v>第3组</x:v>
      </x:c>
      <x:c r="P93" s="13" t="str">
        <x:v>Z055</x:v>
      </x:c>
      <x:c r="Q93" s="13" t="str">
        <x:v>已配置</x:v>
      </x:c>
      <x:c r="R93" s="28" t="n">
        <x:v>38.99</x:v>
      </x:c>
      <x:c r="S93" s="28" t="n">
        <x:v>187.99</x:v>
      </x:c>
    </x:row>
    <x:row r="94" ht="29" customHeight="1">
      <x:c r="A94" s="4" t="str">
        <x:v>黎巴嫩</x:v>
      </x:c>
      <x:c r="B94" s="10" t="n">
        <x:v>0.35</x:v>
      </x:c>
      <x:c r="C94" s="13" t="str">
        <x:v>LBP</x:v>
      </x:c>
      <x:c r="D94" s="15" t="n">
        <x:v>93900</x:v>
      </x:c>
      <x:c r="E94" s="15" t="n">
        <x:v>629000</x:v>
      </x:c>
      <x:c r="F94" s="15" t="n">
        <x:v>1290000</x:v>
      </x:c>
      <x:c r="G94" s="24" t="n">
        <x:v>939000</x:v>
      </x:c>
      <x:c r="H94" s="15" t="n">
        <x:v>2990000</x:v>
      </x:c>
      <x:c r="I94" s="15" t="n">
        <x:v>6090000</x:v>
      </x:c>
      <x:c r="J94" s="24" t="n">
        <x:f>ROUND(G94*12,2)</x:f>
        <x:v>11268000</x:v>
      </x:c>
      <x:c r="K94" s="15" t="n">
        <x:v>309000</x:v>
      </x:c>
      <x:c r="L94" s="15" t="n">
        <x:v>159000</x:v>
      </x:c>
      <x:c r="M94" s="15" t="n">
        <x:v>219000</x:v>
      </x:c>
      <x:c r="N94" s="15" t="n">
        <x:f>'Pass测算'!J47</x:f>
        <x:v>54000</x:v>
      </x:c>
      <x:c r="O94" s="13" t="str">
        <x:v>第3组</x:v>
      </x:c>
      <x:c r="P94" s="13" t="str">
        <x:v>Z035</x:v>
      </x:c>
      <x:c r="Q94" s="13" t="str">
        <x:v>已配置</x:v>
      </x:c>
      <x:c r="R94" s="29" t="n">
        <x:v>2490000</x:v>
      </x:c>
      <x:c r="S94" s="29" t="n">
        <x:v>11900000</x:v>
      </x:c>
    </x:row>
    <x:row r="95" ht="29" customHeight="1">
      <x:c r="A95" s="4" t="str">
        <x:v>利比里亚</x:v>
      </x:c>
      <x:c r="B95" s="10" t="n">
        <x:v>0.2</x:v>
      </x:c>
      <x:c r="C95" s="13" t="str">
        <x:v>LRD</x:v>
      </x:c>
      <x:c r="D95" s="15" t="n">
        <x:v>99</x:v>
      </x:c>
      <x:c r="E95" s="15" t="n">
        <x:v>679</x:v>
      </x:c>
      <x:c r="F95" s="15" t="n">
        <x:v>1399</x:v>
      </x:c>
      <x:c r="G95" s="24" t="n">
        <x:v>999</x:v>
      </x:c>
      <x:c r="H95" s="15" t="n">
        <x:v>3299</x:v>
      </x:c>
      <x:c r="I95" s="15" t="n">
        <x:v>6599</x:v>
      </x:c>
      <x:c r="J95" s="24" t="n">
        <x:f>ROUND(G95*12,2)</x:f>
        <x:v>11988</x:v>
      </x:c>
      <x:c r="K95" s="15" t="n">
        <x:v>339</x:v>
      </x:c>
      <x:c r="L95" s="15" t="n">
        <x:v>169</x:v>
      </x:c>
      <x:c r="M95" s="15" t="n">
        <x:v>239</x:v>
      </x:c>
      <x:c r="N95" s="15" t="n">
        <x:f>'Pass测算'!J18</x:f>
        <x:v>110</x:v>
      </x:c>
      <x:c r="O95" s="13" t="str">
        <x:v>第3组</x:v>
      </x:c>
      <x:c r="P95" s="13" t="str">
        <x:v>Z020</x:v>
      </x:c>
      <x:c r="Q95" s="13" t="str">
        <x:v>已配置</x:v>
      </x:c>
      <x:c r="R95" s="29" t="n">
        <x:v>2699</x:v>
      </x:c>
      <x:c r="S95" s="29" t="n">
        <x:v>12900</x:v>
      </x:c>
    </x:row>
    <x:row r="96" ht="29" customHeight="1">
      <x:c r="A96" s="4" t="str">
        <x:v>卢森堡</x:v>
      </x:c>
      <x:c r="B96" s="10" t="n">
        <x:v>0.95</x:v>
      </x:c>
      <x:c r="C96" s="13" t="str">
        <x:v>EUR</x:v>
      </x:c>
      <x:c r="D96" s="12" t="n">
        <x:v>2.49</x:v>
      </x:c>
      <x:c r="E96" s="12" t="n">
        <x:v>16.99</x:v>
      </x:c>
      <x:c r="F96" s="12" t="n">
        <x:v>33.99</x:v>
      </x:c>
      <x:c r="G96" s="23" t="n">
        <x:v>24.99</x:v>
      </x:c>
      <x:c r="H96" s="12" t="n">
        <x:v>80.99</x:v>
      </x:c>
      <x:c r="I96" s="12" t="n">
        <x:v>161.99</x:v>
      </x:c>
      <x:c r="J96" s="23" t="n">
        <x:f>ROUND(G96*12,2)</x:f>
        <x:v>299.88</x:v>
      </x:c>
      <x:c r="K96" s="12" t="n">
        <x:v>8.49</x:v>
      </x:c>
      <x:c r="L96" s="12" t="n">
        <x:v>3.99</x:v>
      </x:c>
      <x:c r="M96" s="12" t="n">
        <x:v>5.99</x:v>
      </x:c>
      <x:c r="N96" s="14" t="n">
        <x:f>'Pass测算'!J100</x:f>
        <x:v>0.83</x:v>
      </x:c>
      <x:c r="O96" s="13" t="str">
        <x:v>第3组</x:v>
      </x:c>
      <x:c r="P96" s="13" t="str">
        <x:v>Z095</x:v>
      </x:c>
      <x:c r="Q96" s="13" t="str">
        <x:v>已配置</x:v>
      </x:c>
      <x:c r="R96" s="28" t="n">
        <x:v>67.99</x:v>
      </x:c>
      <x:c r="S96" s="28" t="n">
        <x:v>323.99</x:v>
      </x:c>
    </x:row>
    <x:row r="97" ht="29" customHeight="1">
      <x:c r="A97" s="4" t="str">
        <x:v>马尔代夫</x:v>
      </x:c>
      <x:c r="B97" s="10" t="n">
        <x:v>0.45</x:v>
      </x:c>
      <x:c r="C97" s="13" t="str">
        <x:v>MVR</x:v>
      </x:c>
      <x:c r="D97" s="12" t="n">
        <x:v>20.99</x:v>
      </x:c>
      <x:c r="E97" s="12" t="n">
        <x:v>138.99</x:v>
      </x:c>
      <x:c r="F97" s="12" t="n">
        <x:v>277.99</x:v>
      </x:c>
      <x:c r="G97" s="23" t="n">
        <x:v>208.99</x:v>
      </x:c>
      <x:c r="H97" s="12" t="n">
        <x:v>666.99</x:v>
      </x:c>
      <x:c r="I97" s="12" t="n">
        <x:v>1333.99</x:v>
      </x:c>
      <x:c r="J97" s="23" t="n">
        <x:f>ROUND(G97*12,2)</x:f>
        <x:v>2507.88</x:v>
      </x:c>
      <x:c r="K97" s="12" t="n">
        <x:v>68.99</x:v>
      </x:c>
      <x:c r="L97" s="12" t="n">
        <x:v>34.99</x:v>
      </x:c>
      <x:c r="M97" s="12" t="n">
        <x:v>48.99</x:v>
      </x:c>
      <x:c r="N97" s="14" t="n">
        <x:f>'Pass测算'!J65</x:f>
        <x:v>9.3</x:v>
      </x:c>
      <x:c r="O97" s="13" t="str">
        <x:v>第3组</x:v>
      </x:c>
      <x:c r="P97" s="13" t="str">
        <x:v>Z045</x:v>
      </x:c>
      <x:c r="Q97" s="13" t="str">
        <x:v>已配置</x:v>
      </x:c>
      <x:c r="R97" s="28" t="n">
        <x:v>555.99</x:v>
      </x:c>
      <x:c r="S97" s="28" t="n">
        <x:v>2668.99</x:v>
      </x:c>
    </x:row>
    <x:row r="98" ht="29" customHeight="1">
      <x:c r="A98" s="4" t="str">
        <x:v>摩尔多瓦</x:v>
      </x:c>
      <x:c r="B98" s="10" t="n">
        <x:v>0.35</x:v>
      </x:c>
      <x:c r="C98" s="13" t="str">
        <x:v>MDL</x:v>
      </x:c>
      <x:c r="D98" s="12" t="n">
        <x:v>18.99</x:v>
      </x:c>
      <x:c r="E98" s="12" t="n">
        <x:v>124.99</x:v>
      </x:c>
      <x:c r="F98" s="12" t="n">
        <x:v>250.99</x:v>
      </x:c>
      <x:c r="G98" s="23" t="n">
        <x:v>187.99</x:v>
      </x:c>
      <x:c r="H98" s="12" t="n">
        <x:v>600.99</x:v>
      </x:c>
      <x:c r="I98" s="12" t="n">
        <x:v>1202.99</x:v>
      </x:c>
      <x:c r="J98" s="23" t="n">
        <x:f>ROUND(G98*12,2)</x:f>
        <x:v>2255.88</x:v>
      </x:c>
      <x:c r="K98" s="12" t="n">
        <x:v>62.99</x:v>
      </x:c>
      <x:c r="L98" s="12" t="n">
        <x:v>30.99</x:v>
      </x:c>
      <x:c r="M98" s="12" t="n">
        <x:v>43.99</x:v>
      </x:c>
      <x:c r="N98" s="15" t="n">
        <x:f>'Pass测算'!J48</x:f>
        <x:v>11</x:v>
      </x:c>
      <x:c r="O98" s="13" t="str">
        <x:v>第3组</x:v>
      </x:c>
      <x:c r="P98" s="13" t="str">
        <x:v>Z035</x:v>
      </x:c>
      <x:c r="Q98" s="13" t="str">
        <x:v>已配置</x:v>
      </x:c>
      <x:c r="R98" s="28" t="n">
        <x:v>501.99</x:v>
      </x:c>
      <x:c r="S98" s="28" t="n">
        <x:v>2406.99</x:v>
      </x:c>
    </x:row>
    <x:row r="99" ht="29" customHeight="1">
      <x:c r="A99" s="4" t="str">
        <x:v>蒙古</x:v>
      </x:c>
      <x:c r="B99" s="10" t="n">
        <x:v>0.3</x:v>
      </x:c>
      <x:c r="C99" s="13" t="str">
        <x:v>MNT</x:v>
      </x:c>
      <x:c r="D99" s="15" t="n">
        <x:v>3199</x:v>
      </x:c>
      <x:c r="E99" s="15" t="n">
        <x:v>21900</x:v>
      </x:c>
      <x:c r="F99" s="15" t="n">
        <x:v>42900</x:v>
      </x:c>
      <x:c r="G99" s="24" t="n">
        <x:v>32900</x:v>
      </x:c>
      <x:c r="H99" s="15" t="n">
        <x:v>103900</x:v>
      </x:c>
      <x:c r="I99" s="15" t="n">
        <x:v>209000</x:v>
      </x:c>
      <x:c r="J99" s="24" t="n">
        <x:f>ROUND(G99*12,2)</x:f>
        <x:v>394800</x:v>
      </x:c>
      <x:c r="K99" s="15" t="n">
        <x:v>10900</x:v>
      </x:c>
      <x:c r="L99" s="15" t="n">
        <x:v>5399</x:v>
      </x:c>
      <x:c r="M99" s="15" t="n">
        <x:v>7599</x:v>
      </x:c>
      <x:c r="N99" s="15" t="n">
        <x:f>'Pass测算'!J38</x:f>
        <x:v>2200</x:v>
      </x:c>
      <x:c r="O99" s="13" t="str">
        <x:v>第3组</x:v>
      </x:c>
      <x:c r="P99" s="13" t="str">
        <x:v>Z030</x:v>
      </x:c>
      <x:c r="Q99" s="13" t="str">
        <x:v>已配置</x:v>
      </x:c>
      <x:c r="R99" s="29" t="n">
        <x:v>86900</x:v>
      </x:c>
      <x:c r="S99" s="29" t="n">
        <x:v>419000</x:v>
      </x:c>
    </x:row>
    <x:row r="100" ht="29" customHeight="1">
      <x:c r="A100" s="4" t="str">
        <x:v>黑山</x:v>
      </x:c>
      <x:c r="B100" s="10" t="n">
        <x:v>0.4</x:v>
      </x:c>
      <x:c r="C100" s="13" t="str">
        <x:v>EUR</x:v>
      </x:c>
      <x:c r="D100" s="12" t="n">
        <x:v>0.99</x:v>
      </x:c>
      <x:c r="E100" s="12" t="n">
        <x:v>6.99</x:v>
      </x:c>
      <x:c r="F100" s="12" t="n">
        <x:v>13.99</x:v>
      </x:c>
      <x:c r="G100" s="23" t="n">
        <x:v>10.99</x:v>
      </x:c>
      <x:c r="H100" s="12" t="n">
        <x:v>33.99</x:v>
      </x:c>
      <x:c r="I100" s="12" t="n">
        <x:v>67.99</x:v>
      </x:c>
      <x:c r="J100" s="23" t="n">
        <x:f>ROUND(G100*12,2)</x:f>
        <x:v>131.88</x:v>
      </x:c>
      <x:c r="K100" s="12" t="n">
        <x:v>3.49</x:v>
      </x:c>
      <x:c r="L100" s="12" t="n">
        <x:v>1.79</x:v>
      </x:c>
      <x:c r="M100" s="12" t="n">
        <x:v>2.49</x:v>
      </x:c>
      <x:c r="N100" s="14" t="n">
        <x:f>'Pass测算'!J57</x:f>
        <x:v>0.53</x:v>
      </x:c>
      <x:c r="O100" s="13" t="str">
        <x:v>第3组</x:v>
      </x:c>
      <x:c r="P100" s="13" t="str">
        <x:v>Z040</x:v>
      </x:c>
      <x:c r="Q100" s="13" t="str">
        <x:v>已配置</x:v>
      </x:c>
      <x:c r="R100" s="28" t="n">
        <x:v>27.99</x:v>
      </x:c>
      <x:c r="S100" s="28" t="n">
        <x:v>136.99</x:v>
      </x:c>
    </x:row>
    <x:row r="101" ht="29" customHeight="1">
      <x:c r="A101" s="4" t="str">
        <x:v>缅甸</x:v>
      </x:c>
      <x:c r="B101" s="10" t="n">
        <x:v>0.2</x:v>
      </x:c>
      <x:c r="C101" s="13" t="str">
        <x:v>MMK</x:v>
      </x:c>
      <x:c r="D101" s="15" t="n">
        <x:v>1299</x:v>
      </x:c>
      <x:c r="E101" s="15" t="n">
        <x:v>8399</x:v>
      </x:c>
      <x:c r="F101" s="15" t="n">
        <x:v>16900</x:v>
      </x:c>
      <x:c r="G101" s="24" t="n">
        <x:v>12900</x:v>
      </x:c>
      <x:c r="H101" s="15" t="n">
        <x:v>39900</x:v>
      </x:c>
      <x:c r="I101" s="15" t="n">
        <x:v>80900</x:v>
      </x:c>
      <x:c r="J101" s="24" t="n">
        <x:f>ROUND(G101*12,2)</x:f>
        <x:v>154800</x:v>
      </x:c>
      <x:c r="K101" s="15" t="n">
        <x:v>4199</x:v>
      </x:c>
      <x:c r="L101" s="15" t="n">
        <x:v>2099</x:v>
      </x:c>
      <x:c r="M101" s="15" t="n">
        <x:v>2899</x:v>
      </x:c>
      <x:c r="N101" s="15" t="n">
        <x:f>'Pass测算'!J19</x:f>
        <x:v>1300</x:v>
      </x:c>
      <x:c r="O101" s="13" t="str">
        <x:v>第3组</x:v>
      </x:c>
      <x:c r="P101" s="13" t="str">
        <x:v>Z020</x:v>
      </x:c>
      <x:c r="Q101" s="13" t="str">
        <x:v>已配置</x:v>
      </x:c>
      <x:c r="R101" s="29" t="n">
        <x:v>33900</x:v>
      </x:c>
      <x:c r="S101" s="29" t="n">
        <x:v>159000</x:v>
      </x:c>
    </x:row>
    <x:row r="102" ht="29" customHeight="1">
      <x:c r="A102" s="4" t="str">
        <x:v>尼泊尔</x:v>
      </x:c>
      <x:c r="B102" s="10" t="n">
        <x:v>0.2</x:v>
      </x:c>
      <x:c r="C102" s="13" t="str">
        <x:v>NPR</x:v>
      </x:c>
      <x:c r="D102" s="15" t="n">
        <x:v>89</x:v>
      </x:c>
      <x:c r="E102" s="15" t="n">
        <x:v>609</x:v>
      </x:c>
      <x:c r="F102" s="15" t="n">
        <x:v>1199</x:v>
      </x:c>
      <x:c r="G102" s="24" t="n">
        <x:v>909</x:v>
      </x:c>
      <x:c r="H102" s="15" t="n">
        <x:v>2899</x:v>
      </x:c>
      <x:c r="I102" s="15" t="n">
        <x:v>5799</x:v>
      </x:c>
      <x:c r="J102" s="24" t="n">
        <x:f>ROUND(G102*12,2)</x:f>
        <x:v>10908</x:v>
      </x:c>
      <x:c r="K102" s="15" t="n">
        <x:v>309</x:v>
      </x:c>
      <x:c r="L102" s="15" t="n">
        <x:v>149</x:v>
      </x:c>
      <x:c r="M102" s="15" t="n">
        <x:v>209</x:v>
      </x:c>
      <x:c r="N102" s="15" t="n">
        <x:f>'Pass测算'!J20</x:f>
        <x:v>92</x:v>
      </x:c>
      <x:c r="O102" s="13" t="str">
        <x:v>第3组</x:v>
      </x:c>
      <x:c r="P102" s="13" t="str">
        <x:v>Z020</x:v>
      </x:c>
      <x:c r="Q102" s="13" t="str">
        <x:v>已配置</x:v>
      </x:c>
      <x:c r="R102" s="29" t="n">
        <x:v>2399</x:v>
      </x:c>
      <x:c r="S102" s="29" t="n">
        <x:v>11699</x:v>
      </x:c>
    </x:row>
    <x:row r="103" ht="29" customHeight="1">
      <x:c r="A103" s="4" t="str">
        <x:v>挪威</x:v>
      </x:c>
      <x:c r="B103" s="10" t="n">
        <x:v>1</x:v>
      </x:c>
      <x:c r="C103" s="13" t="str">
        <x:v>NOK</x:v>
      </x:c>
      <x:c r="D103" s="15" t="n">
        <x:v>28</x:v>
      </x:c>
      <x:c r="E103" s="15" t="n">
        <x:v>189</x:v>
      </x:c>
      <x:c r="F103" s="15" t="n">
        <x:v>377</x:v>
      </x:c>
      <x:c r="G103" s="24" t="n">
        <x:v>283</x:v>
      </x:c>
      <x:c r="H103" s="15" t="n">
        <x:v>905</x:v>
      </x:c>
      <x:c r="I103" s="15" t="n">
        <x:v>1811</x:v>
      </x:c>
      <x:c r="J103" s="24" t="n">
        <x:f>ROUND(G103*12,2)</x:f>
        <x:v>3396</x:v>
      </x:c>
      <x:c r="K103" s="15" t="n">
        <x:v>94</x:v>
      </x:c>
      <x:c r="L103" s="15" t="n">
        <x:v>47</x:v>
      </x:c>
      <x:c r="M103" s="15" t="n">
        <x:v>66</x:v>
      </x:c>
      <x:c r="N103" s="14" t="n">
        <x:f>'Pass测算'!J104</x:f>
        <x:v>9.4</x:v>
      </x:c>
      <x:c r="O103" s="13" t="str">
        <x:v>第3组</x:v>
      </x:c>
      <x:c r="P103" s="13" t="str">
        <x:v>Z100</x:v>
      </x:c>
      <x:c r="Q103" s="13" t="str">
        <x:v>已配置</x:v>
      </x:c>
      <x:c r="R103" s="29" t="n">
        <x:v>754.99</x:v>
      </x:c>
      <x:c r="S103" s="29" t="n">
        <x:v>3622.99</x:v>
      </x:c>
    </x:row>
    <x:row r="104" ht="29" customHeight="1">
      <x:c r="A104" s="4" t="str">
        <x:v>阿曼</x:v>
      </x:c>
      <x:c r="B104" s="10" t="n">
        <x:v>0.5</x:v>
      </x:c>
      <x:c r="C104" s="13" t="str">
        <x:v>USD</x:v>
      </x:c>
      <x:c r="D104" s="12" t="n">
        <x:v>1.49</x:v>
      </x:c>
      <x:c r="E104" s="12" t="n">
        <x:v>9.99</x:v>
      </x:c>
      <x:c r="F104" s="12" t="n">
        <x:v>19.99</x:v>
      </x:c>
      <x:c r="G104" s="23" t="n">
        <x:v>14.99</x:v>
      </x:c>
      <x:c r="H104" s="12" t="n">
        <x:v>47.99</x:v>
      </x:c>
      <x:c r="I104" s="12" t="n">
        <x:v>95.99</x:v>
      </x:c>
      <x:c r="J104" s="23" t="n">
        <x:f>ROUND(G104*12,2)</x:f>
        <x:v>179.88</x:v>
      </x:c>
      <x:c r="K104" s="12" t="n">
        <x:v>4.99</x:v>
      </x:c>
      <x:c r="L104" s="12" t="n">
        <x:v>2.49</x:v>
      </x:c>
      <x:c r="M104" s="12" t="n">
        <x:v>3.49</x:v>
      </x:c>
      <x:c r="N104" s="14" t="n">
        <x:f>'Pass测算'!J66</x:f>
        <x:v>0.6</x:v>
      </x:c>
      <x:c r="O104" s="13" t="str">
        <x:v>第3组</x:v>
      </x:c>
      <x:c r="P104" s="13" t="str">
        <x:v>Z050</x:v>
      </x:c>
      <x:c r="Q104" s="13" t="str">
        <x:v>USD替代已配置</x:v>
      </x:c>
      <x:c r="R104" s="28"/>
      <x:c r="S104" s="28"/>
    </x:row>
    <x:row r="105" ht="29" customHeight="1">
      <x:c r="A105" s="4" t="str">
        <x:v>巴布亚新几内亚</x:v>
      </x:c>
      <x:c r="B105" s="10" t="n">
        <x:v>0.4</x:v>
      </x:c>
      <x:c r="C105" s="13" t="str">
        <x:v>PGK</x:v>
      </x:c>
      <x:c r="D105" s="12" t="n">
        <x:v>5.49</x:v>
      </x:c>
      <x:c r="E105" s="12" t="n">
        <x:v>35.99</x:v>
      </x:c>
      <x:c r="F105" s="12" t="n">
        <x:v>71.99</x:v>
      </x:c>
      <x:c r="G105" s="23" t="n">
        <x:v>53.99</x:v>
      </x:c>
      <x:c r="H105" s="12" t="n">
        <x:v>172.99</x:v>
      </x:c>
      <x:c r="I105" s="12" t="n">
        <x:v>346.99</x:v>
      </x:c>
      <x:c r="J105" s="23" t="n">
        <x:f>ROUND(G105*12,2)</x:f>
        <x:v>647.88</x:v>
      </x:c>
      <x:c r="K105" s="12" t="n">
        <x:v>17.99</x:v>
      </x:c>
      <x:c r="L105" s="12" t="n">
        <x:v>8.99</x:v>
      </x:c>
      <x:c r="M105" s="12" t="n">
        <x:v>12.99</x:v>
      </x:c>
      <x:c r="N105" s="14" t="n">
        <x:f>'Pass测算'!J58</x:f>
        <x:v>2.8</x:v>
      </x:c>
      <x:c r="O105" s="13" t="str">
        <x:v>第3组</x:v>
      </x:c>
      <x:c r="P105" s="13" t="str">
        <x:v>Z040</x:v>
      </x:c>
      <x:c r="Q105" s="13" t="str">
        <x:v>已配置</x:v>
      </x:c>
      <x:c r="R105" s="28" t="n">
        <x:v>144.99</x:v>
      </x:c>
      <x:c r="S105" s="28" t="n">
        <x:v>693.99</x:v>
      </x:c>
    </x:row>
    <x:row r="106" ht="29" customHeight="1">
      <x:c r="A106" s="4" t="str">
        <x:v>波兰</x:v>
      </x:c>
      <x:c r="B106" s="10" t="n">
        <x:v>0.5</x:v>
      </x:c>
      <x:c r="C106" s="13" t="str">
        <x:v>PLN</x:v>
      </x:c>
      <x:c r="D106" s="12" t="n">
        <x:v>5.99</x:v>
      </x:c>
      <x:c r="E106" s="12" t="n">
        <x:v>38.99</x:v>
      </x:c>
      <x:c r="F106" s="12" t="n">
        <x:v>77.99</x:v>
      </x:c>
      <x:c r="G106" s="23" t="n">
        <x:v>57.99</x:v>
      </x:c>
      <x:c r="H106" s="12" t="n">
        <x:v>185.99</x:v>
      </x:c>
      <x:c r="I106" s="12" t="n">
        <x:v>372.99</x:v>
      </x:c>
      <x:c r="J106" s="23" t="n">
        <x:f>ROUND(G106*12,2)</x:f>
        <x:v>695.88</x:v>
      </x:c>
      <x:c r="K106" s="12" t="n">
        <x:v>18.99</x:v>
      </x:c>
      <x:c r="L106" s="12" t="n">
        <x:v>9.49</x:v>
      </x:c>
      <x:c r="M106" s="12" t="n">
        <x:v>13.99</x:v>
      </x:c>
      <x:c r="N106" s="14" t="n">
        <x:f>'Pass测算'!J70</x:f>
        <x:v>2.4</x:v>
      </x:c>
      <x:c r="O106" s="13" t="str">
        <x:v>第3组</x:v>
      </x:c>
      <x:c r="P106" s="13" t="str">
        <x:v>Z050</x:v>
      </x:c>
      <x:c r="Q106" s="13" t="str">
        <x:v>已配置</x:v>
      </x:c>
      <x:c r="R106" s="28" t="n">
        <x:v>154.99</x:v>
      </x:c>
      <x:c r="S106" s="28" t="n">
        <x:v>745.99</x:v>
      </x:c>
    </x:row>
    <x:row r="107" ht="29" customHeight="1">
      <x:c r="A107" s="4" t="str">
        <x:v>波多黎各</x:v>
      </x:c>
      <x:c r="B107" s="10" t="n">
        <x:v>0.55</x:v>
      </x:c>
      <x:c r="C107" s="13" t="str">
        <x:v>USD</x:v>
      </x:c>
      <x:c r="D107" s="12" t="n">
        <x:v>1.49</x:v>
      </x:c>
      <x:c r="E107" s="12" t="n">
        <x:v>10.99</x:v>
      </x:c>
      <x:c r="F107" s="12" t="n">
        <x:v>21.99</x:v>
      </x:c>
      <x:c r="G107" s="23" t="n">
        <x:v>16.99</x:v>
      </x:c>
      <x:c r="H107" s="12" t="n">
        <x:v>52.99</x:v>
      </x:c>
      <x:c r="I107" s="12" t="n">
        <x:v>105.99</x:v>
      </x:c>
      <x:c r="J107" s="23" t="n">
        <x:f>ROUND(G107*12,2)</x:f>
        <x:v>203.88</x:v>
      </x:c>
      <x:c r="K107" s="12" t="n">
        <x:v>5.49</x:v>
      </x:c>
      <x:c r="L107" s="12" t="n">
        <x:v>2.49</x:v>
      </x:c>
      <x:c r="M107" s="12" t="n">
        <x:v>3.99</x:v>
      </x:c>
      <x:c r="N107" s="14" t="n">
        <x:f>'Pass测算'!J77</x:f>
        <x:v>0.6</x:v>
      </x:c>
      <x:c r="O107" s="13" t="str">
        <x:v>第3组</x:v>
      </x:c>
      <x:c r="P107" s="13" t="str">
        <x:v>Z055</x:v>
      </x:c>
      <x:c r="Q107" s="13" t="str">
        <x:v>已配置</x:v>
      </x:c>
      <x:c r="R107" s="28" t="n">
        <x:v>43.99</x:v>
      </x:c>
      <x:c r="S107" s="28" t="n">
        <x:v>210.99</x:v>
      </x:c>
    </x:row>
    <x:row r="108" ht="29" customHeight="1">
      <x:c r="A108" s="4" t="str">
        <x:v>塞尔维亚</x:v>
      </x:c>
      <x:c r="B108" s="10" t="n">
        <x:v>0.4</x:v>
      </x:c>
      <x:c r="C108" s="13" t="str">
        <x:v>RSD</x:v>
      </x:c>
      <x:c r="D108" s="15" t="n">
        <x:v>129</x:v>
      </x:c>
      <x:c r="E108" s="15" t="n">
        <x:v>839</x:v>
      </x:c>
      <x:c r="F108" s="15" t="n">
        <x:v>1699</x:v>
      </x:c>
      <x:c r="G108" s="24" t="n">
        <x:v>1299</x:v>
      </x:c>
      <x:c r="H108" s="15" t="n">
        <x:v>3999</x:v>
      </x:c>
      <x:c r="I108" s="15" t="n">
        <x:v>7999</x:v>
      </x:c>
      <x:c r="J108" s="24" t="n">
        <x:f>ROUND(G108*12,2)</x:f>
        <x:v>15588</x:v>
      </x:c>
      <x:c r="K108" s="15" t="n">
        <x:v>419</x:v>
      </x:c>
      <x:c r="L108" s="15" t="n">
        <x:v>209</x:v>
      </x:c>
      <x:c r="M108" s="15" t="n">
        <x:v>289</x:v>
      </x:c>
      <x:c r="N108" s="15" t="n">
        <x:f>'Pass测算'!J59</x:f>
        <x:v>63</x:v>
      </x:c>
      <x:c r="O108" s="13" t="str">
        <x:v>第3组</x:v>
      </x:c>
      <x:c r="P108" s="13" t="str">
        <x:v>Z040</x:v>
      </x:c>
      <x:c r="Q108" s="13" t="str">
        <x:v>已配置</x:v>
      </x:c>
      <x:c r="R108" s="29" t="n">
        <x:v>3299</x:v>
      </x:c>
      <x:c r="S108" s="29" t="n">
        <x:v>15900</x:v>
      </x:c>
    </x:row>
    <x:row r="109" ht="29" customHeight="1">
      <x:c r="A109" s="4" t="str">
        <x:v>塞舌尔</x:v>
      </x:c>
      <x:c r="B109" s="10" t="n">
        <x:v>0.5</x:v>
      </x:c>
      <x:c r="C109" s="13" t="str">
        <x:v>SCR</x:v>
      </x:c>
      <x:c r="D109" s="12" t="n">
        <x:v>21.99</x:v>
      </x:c>
      <x:c r="E109" s="12" t="n">
        <x:v>145.99</x:v>
      </x:c>
      <x:c r="F109" s="12" t="n">
        <x:v>290.99</x:v>
      </x:c>
      <x:c r="G109" s="23" t="n">
        <x:v>217.99</x:v>
      </x:c>
      <x:c r="H109" s="12" t="n">
        <x:v>697.99</x:v>
      </x:c>
      <x:c r="I109" s="12" t="n">
        <x:v>1397.99</x:v>
      </x:c>
      <x:c r="J109" s="23" t="n">
        <x:f>ROUND(G109*12,2)</x:f>
        <x:v>2615.88</x:v>
      </x:c>
      <x:c r="K109" s="12" t="n">
        <x:v>72.99</x:v>
      </x:c>
      <x:c r="L109" s="12" t="n">
        <x:v>35.99</x:v>
      </x:c>
      <x:c r="M109" s="12" t="n">
        <x:v>50.99</x:v>
      </x:c>
      <x:c r="N109" s="14" t="n">
        <x:f>'Pass测算'!J71</x:f>
        <x:v>8.8</x:v>
      </x:c>
      <x:c r="O109" s="13" t="str">
        <x:v>第3组</x:v>
      </x:c>
      <x:c r="P109" s="13" t="str">
        <x:v>Z050</x:v>
      </x:c>
      <x:c r="Q109" s="13" t="str">
        <x:v>已配置</x:v>
      </x:c>
      <x:c r="R109" s="28" t="n">
        <x:v>582.99</x:v>
      </x:c>
      <x:c r="S109" s="28" t="n">
        <x:v>2795.99</x:v>
      </x:c>
    </x:row>
    <x:row r="110" ht="29" customHeight="1">
      <x:c r="A110" s="4" t="str">
        <x:v>斯洛伐克</x:v>
      </x:c>
      <x:c r="B110" s="10" t="n">
        <x:v>0.55</x:v>
      </x:c>
      <x:c r="C110" s="13" t="str">
        <x:v>EUR</x:v>
      </x:c>
      <x:c r="D110" s="12" t="n">
        <x:v>1.49</x:v>
      </x:c>
      <x:c r="E110" s="12" t="n">
        <x:v>9.99</x:v>
      </x:c>
      <x:c r="F110" s="12" t="n">
        <x:v>19.99</x:v>
      </x:c>
      <x:c r="G110" s="23" t="n">
        <x:v>14.99</x:v>
      </x:c>
      <x:c r="H110" s="12" t="n">
        <x:v>46.99</x:v>
      </x:c>
      <x:c r="I110" s="12" t="n">
        <x:v>93.99</x:v>
      </x:c>
      <x:c r="J110" s="23" t="n">
        <x:f>ROUND(G110*12,2)</x:f>
        <x:v>179.88</x:v>
      </x:c>
      <x:c r="K110" s="12" t="n">
        <x:v>4.99</x:v>
      </x:c>
      <x:c r="L110" s="12" t="n">
        <x:v>2.49</x:v>
      </x:c>
      <x:c r="M110" s="12" t="n">
        <x:v>3.49</x:v>
      </x:c>
      <x:c r="N110" s="14" t="n">
        <x:f>'Pass测算'!J74</x:f>
        <x:v>0.53</x:v>
      </x:c>
      <x:c r="O110" s="13" t="str">
        <x:v>第3组</x:v>
      </x:c>
      <x:c r="P110" s="13" t="str">
        <x:v>Z055</x:v>
      </x:c>
      <x:c r="Q110" s="13" t="str">
        <x:v>已配置</x:v>
      </x:c>
      <x:c r="R110" s="28" t="n">
        <x:v>38.99</x:v>
      </x:c>
      <x:c r="S110" s="28" t="n">
        <x:v>187.99</x:v>
      </x:c>
    </x:row>
    <x:row r="111" ht="29" customHeight="1">
      <x:c r="A111" s="16" t="str">
        <x:v>瑞典</x:v>
      </x:c>
      <x:c r="B111" s="17" t="n">
        <x:v>0.85</x:v>
      </x:c>
      <x:c r="C111" s="18" t="str">
        <x:v>SEK</x:v>
      </x:c>
      <x:c r="D111" s="19" t="n">
        <x:v>25</x:v>
      </x:c>
      <x:c r="E111" s="19" t="n">
        <x:v>168</x:v>
      </x:c>
      <x:c r="F111" s="19" t="n">
        <x:v>337</x:v>
      </x:c>
      <x:c r="G111" s="25" t="n">
        <x:v>253</x:v>
      </x:c>
      <x:c r="H111" s="19" t="n">
        <x:v>808</x:v>
      </x:c>
      <x:c r="I111" s="19" t="n">
        <x:v>1616</x:v>
      </x:c>
      <x:c r="J111" s="25" t="n">
        <x:f>ROUND(G111*12,2)</x:f>
        <x:v>3036</x:v>
      </x:c>
      <x:c r="K111" s="19" t="n">
        <x:v>84</x:v>
      </x:c>
      <x:c r="L111" s="19" t="n">
        <x:v>42</x:v>
      </x:c>
      <x:c r="M111" s="19" t="n">
        <x:v>59</x:v>
      </x:c>
      <x:c r="N111" s="20" t="n">
        <x:f>'Pass测算'!J96</x:f>
        <x:v>8.4</x:v>
      </x:c>
      <x:c r="O111" s="18" t="str">
        <x:v>第1组</x:v>
      </x:c>
      <x:c r="P111" s="18" t="str">
        <x:v>Z085</x:v>
      </x:c>
      <x:c r="Q111" s="18" t="str">
        <x:v>已配置</x:v>
      </x:c>
      <x:c r="R111" s="29" t="n">
        <x:v>673.99</x:v>
      </x:c>
      <x:c r="S111" s="29" t="n">
        <x:v>3233.99</x:v>
      </x:c>
    </x:row>
    <x:row r="112" ht="29" customHeight="1">
      <x:c r="A112" s="4" t="str">
        <x:v>特立尼达和多巴哥</x:v>
      </x:c>
      <x:c r="B112" s="10" t="n">
        <x:v>0.5</x:v>
      </x:c>
      <x:c r="C112" s="13" t="str">
        <x:v>TTD</x:v>
      </x:c>
      <x:c r="D112" s="12" t="n">
        <x:v>9.99</x:v>
      </x:c>
      <x:c r="E112" s="12" t="n">
        <x:v>67.99</x:v>
      </x:c>
      <x:c r="F112" s="12" t="n">
        <x:v>134.99</x:v>
      </x:c>
      <x:c r="G112" s="23" t="n">
        <x:v>100.99</x:v>
      </x:c>
      <x:c r="H112" s="12" t="n">
        <x:v>323.99</x:v>
      </x:c>
      <x:c r="I112" s="12" t="n">
        <x:v>647.99</x:v>
      </x:c>
      <x:c r="J112" s="23" t="n">
        <x:f>ROUND(G112*12,2)</x:f>
        <x:v>1211.88</x:v>
      </x:c>
      <x:c r="K112" s="12" t="n">
        <x:v>33.99</x:v>
      </x:c>
      <x:c r="L112" s="12" t="n">
        <x:v>16.99</x:v>
      </x:c>
      <x:c r="M112" s="12" t="n">
        <x:v>23.99</x:v>
      </x:c>
      <x:c r="N112" s="14" t="n">
        <x:f>'Pass测算'!J72</x:f>
        <x:v>4.1</x:v>
      </x:c>
      <x:c r="O112" s="13" t="str">
        <x:v>第3组</x:v>
      </x:c>
      <x:c r="P112" s="13" t="str">
        <x:v>Z050</x:v>
      </x:c>
      <x:c r="Q112" s="13" t="str">
        <x:v>已配置</x:v>
      </x:c>
      <x:c r="R112" s="28" t="n">
        <x:v>269.99</x:v>
      </x:c>
      <x:c r="S112" s="28" t="n">
        <x:v>1296.99</x:v>
      </x:c>
    </x:row>
    <x:row r="113" ht="29" customHeight="1">
      <x:c r="A113" s="4" t="str">
        <x:v>乌兹别克斯坦</x:v>
      </x:c>
      <x:c r="B113" s="10" t="n">
        <x:v>0.2</x:v>
      </x:c>
      <x:c r="C113" s="13" t="str">
        <x:v>UZS</x:v>
      </x:c>
      <x:c r="D113" s="15" t="n">
        <x:v>7199</x:v>
      </x:c>
      <x:c r="E113" s="15" t="n">
        <x:v>47900</x:v>
      </x:c>
      <x:c r="F113" s="15" t="n">
        <x:v>95900</x:v>
      </x:c>
      <x:c r="G113" s="24" t="n">
        <x:v>71900</x:v>
      </x:c>
      <x:c r="H113" s="15" t="n">
        <x:v>229000</x:v>
      </x:c>
      <x:c r="I113" s="15" t="n">
        <x:v>459000</x:v>
      </x:c>
      <x:c r="J113" s="24" t="n">
        <x:f>ROUND(G113*12,2)</x:f>
        <x:v>862800</x:v>
      </x:c>
      <x:c r="K113" s="15" t="n">
        <x:v>23900</x:v>
      </x:c>
      <x:c r="L113" s="15" t="n">
        <x:v>11900</x:v>
      </x:c>
      <x:c r="M113" s="15" t="n">
        <x:v>16900</x:v>
      </x:c>
      <x:c r="N113" s="15" t="n">
        <x:f>'Pass测算'!J21</x:f>
        <x:v>7200</x:v>
      </x:c>
      <x:c r="O113" s="13" t="str">
        <x:v>第3组</x:v>
      </x:c>
      <x:c r="P113" s="13" t="str">
        <x:v>Z020</x:v>
      </x:c>
      <x:c r="Q113" s="13" t="str">
        <x:v>已配置</x:v>
      </x:c>
      <x:c r="R113" s="29" t="n">
        <x:v>189000</x:v>
      </x:c>
      <x:c r="S113" s="29" t="n">
        <x:v>919000</x:v>
      </x:c>
    </x:row>
    <x:row r="114" ht="29" customHeight="1">
      <x:c r="A114" s="16" t="str">
        <x:v>泰国</x:v>
      </x:c>
      <x:c r="B114" s="17" t="n">
        <x:v>0.3</x:v>
      </x:c>
      <x:c r="C114" s="18" t="str">
        <x:v>THB</x:v>
      </x:c>
      <x:c r="D114" s="19" t="n">
        <x:v>29</x:v>
      </x:c>
      <x:c r="E114" s="19" t="n">
        <x:v>199</x:v>
      </x:c>
      <x:c r="F114" s="19" t="n">
        <x:v>399</x:v>
      </x:c>
      <x:c r="G114" s="25" t="n">
        <x:v>299</x:v>
      </x:c>
      <x:c r="H114" s="19" t="n">
        <x:v>959</x:v>
      </x:c>
      <x:c r="I114" s="19" t="n">
        <x:v>1929</x:v>
      </x:c>
      <x:c r="J114" s="25" t="n">
        <x:f>ROUND(G114*12,2)</x:f>
        <x:v>3588</x:v>
      </x:c>
      <x:c r="K114" s="19" t="n">
        <x:v>99</x:v>
      </x:c>
      <x:c r="L114" s="19" t="n">
        <x:v>49</x:v>
      </x:c>
      <x:c r="M114" s="19" t="n">
        <x:v>69</x:v>
      </x:c>
      <x:c r="N114" s="19" t="n">
        <x:f>'Pass测算'!J36</x:f>
        <x:v>21</x:v>
      </x:c>
      <x:c r="O114" s="18" t="str">
        <x:v>第1组</x:v>
      </x:c>
      <x:c r="P114" s="18" t="str">
        <x:v>Z030</x:v>
      </x:c>
      <x:c r="Q114" s="18" t="str">
        <x:v>已配置</x:v>
      </x:c>
      <x:c r="R114" s="29" t="n">
        <x:v>799</x:v>
      </x:c>
      <x:c r="S114" s="29" t="n">
        <x:v>3859</x:v>
      </x:c>
    </x:row>
    <x:row r="115" ht="29" customHeight="1">
      <x:c r="A115" s="16" t="str">
        <x:v>奥地利</x:v>
      </x:c>
      <x:c r="B115" s="17" t="n">
        <x:v>0.8</x:v>
      </x:c>
      <x:c r="C115" s="18" t="str">
        <x:v>EUR</x:v>
      </x:c>
      <x:c r="D115" s="21" t="n">
        <x:v>1.99</x:v>
      </x:c>
      <x:c r="E115" s="21" t="n">
        <x:v>13.99</x:v>
      </x:c>
      <x:c r="F115" s="21" t="n">
        <x:v>27.99</x:v>
      </x:c>
      <x:c r="G115" s="26" t="n">
        <x:v>20.99</x:v>
      </x:c>
      <x:c r="H115" s="21" t="n">
        <x:v>67.99</x:v>
      </x:c>
      <x:c r="I115" s="21" t="n">
        <x:v>136.99</x:v>
      </x:c>
      <x:c r="J115" s="26" t="n">
        <x:f>ROUND(G115*12,2)</x:f>
        <x:v>251.88</x:v>
      </x:c>
      <x:c r="K115" s="21" t="n">
        <x:v>6.99</x:v>
      </x:c>
      <x:c r="L115" s="21" t="n">
        <x:v>3.49</x:v>
      </x:c>
      <x:c r="M115" s="21" t="n">
        <x:v>4.99</x:v>
      </x:c>
      <x:c r="N115" s="20" t="n">
        <x:f>'Pass测算'!J90</x:f>
        <x:v>0.7</x:v>
      </x:c>
      <x:c r="O115" s="18" t="str">
        <x:v>第1组</x:v>
      </x:c>
      <x:c r="P115" s="18" t="str">
        <x:v>Z080</x:v>
      </x:c>
      <x:c r="Q115" s="18" t="str">
        <x:v>已配置</x:v>
      </x:c>
      <x:c r="R115" s="28" t="n">
        <x:v>56.99</x:v>
      </x:c>
      <x:c r="S115" s="28" t="n">
        <x:v>272.99</x:v>
      </x:c>
    </x:row>
  </x:sheetData>
  <x:pageMargins left="0.7" right="0.7" top="0.75" bottom="0.75" header="0.3" footer="0.3"/>
  <x:tableParts count="1">
    <x:tablePart xmlns:r="http://schemas.openxmlformats.org/officeDocument/2006/relationships" r:id="R1f54ca3a75734cd1"/>
  </x:tableParts>
</x:worksheet>
</file>

<file path=xl/worksheets/sheet2.xml><?xml version="1.0" encoding="utf-8"?>
<x:worksheet xmlns:x="http://schemas.openxmlformats.org/spreadsheetml/2006/main">
  <x:sheetPr>
    <x:tabColor rgb="FF9CA3AF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5" max="5" width="13" hidden="0" customWidth="1"/>
    <x:col min="8" max="8" width="13" hidden="0" customWidth="1"/>
    <x:col min="4" max="4" width="20" hidden="0" customWidth="1"/>
    <x:col min="6" max="6" width="20" hidden="0" customWidth="1"/>
    <x:col min="7" max="7" width="20" hidden="0" customWidth="1"/>
    <x:col min="9" max="9" width="20" hidden="0" customWidth="1"/>
    <x:col min="10" max="10" width="20" hidden="0" customWidth="1"/>
    <x:col min="11" max="11" width="3" hidden="0" customWidth="1"/>
    <x:col min="12" max="12" width="85" hidden="0" customWidth="1"/>
  </x:cols>
  <x:sheetData>
    <x:row r="1" ht="30" customHeight="1">
      <x:c r="A1" s="37" t="str">
        <x:v>倍率区</x:v>
      </x:c>
      <x:c r="B1" s="37" t="str">
        <x:v>币种</x:v>
      </x:c>
      <x:c r="C1" s="37" t="str">
        <x:v>系数</x:v>
      </x:c>
      <x:c r="D1" s="37" t="str">
        <x:v>本币／USD参考</x:v>
      </x:c>
      <x:c r="E1" s="37" t="str">
        <x:v>USD基价</x:v>
      </x:c>
      <x:c r="F1" s="37" t="str">
        <x:v>原始月价</x:v>
      </x:c>
      <x:c r="G1" s="37" t="str">
        <x:v>低额参考</x:v>
      </x:c>
      <x:c r="H1" s="37" t="str">
        <x:v>向上取整步长</x:v>
      </x:c>
      <x:c r="I1" s="37" t="str">
        <x:v>取整前金额</x:v>
      </x:c>
      <x:c r="J1" s="56" t="str">
        <x:v>固定月价</x:v>
      </x:c>
      <x:c r="K1" s="33"/>
      <x:c r="L1" s="62" t="str">
        <x:v>定价口径与来源</x:v>
      </x:c>
      <x:c r="M1" s="33"/>
      <x:c r="N1" s="33"/>
      <x:c r="O1" s="33"/>
    </x:row>
    <x:row r="2" ht="26" customHeight="1">
      <x:c r="A2" s="38" t="str">
        <x:v>Z020</x:v>
      </x:c>
      <x:c r="B2" s="38" t="str">
        <x:v>INR</x:v>
      </x:c>
      <x:c r="C2" s="47" t="n">
        <x:v>0.2</x:v>
      </x:c>
      <x:c r="D2" s="50" t="n">
        <x:v>94.79739869934967</x:v>
      </x:c>
      <x:c r="E2" s="47" t="n">
        <x:v>0.99</x:v>
      </x:c>
      <x:c r="F2" s="44" t="n">
        <x:f>C2*D2*E2</x:f>
        <x:v>18.769884942471236</x:v>
      </x:c>
      <x:c r="G2" s="44" t="n">
        <x:v>56.8784392196098</x:v>
      </x:c>
      <x:c r="H2" s="53" t="n">
        <x:v>1</x:v>
      </x:c>
      <x:c r="I2" s="44" t="n">
        <x:f>MAX(F2,G2)</x:f>
        <x:v>56.8784392196098</x:v>
      </x:c>
      <x:c r="J2" s="57" t="n">
        <x:f>ROUND(ROUNDUP(I2/H2,0)*H2,2)</x:f>
        <x:v>57</x:v>
      </x:c>
      <x:c r="K2" s="33"/>
      <x:c r="L2" s="63" t="str">
        <x:v>114地区；第一组10、第二组53、第三组51。2026-10-18定稿。</x:v>
      </x:c>
      <x:c r="M2" s="33"/>
      <x:c r="N2" s="33"/>
      <x:c r="O2" s="33"/>
    </x:row>
    <x:row r="3" ht="26" customHeight="1">
      <x:c r="A3" s="39" t="str">
        <x:v>Z020</x:v>
      </x:c>
      <x:c r="B3" s="39" t="str">
        <x:v>PKR</x:v>
      </x:c>
      <x:c r="C3" s="48" t="n">
        <x:v>0.2</x:v>
      </x:c>
      <x:c r="D3" s="51" t="n">
        <x:v>274.8874437218609</x:v>
      </x:c>
      <x:c r="E3" s="48" t="n">
        <x:v>0.99</x:v>
      </x:c>
      <x:c r="F3" s="45" t="n">
        <x:f>C3*D3*E3</x:f>
        <x:v>54.427713856928456</x:v>
      </x:c>
      <x:c r="G3" s="45" t="n">
        <x:v>164.93246623311657</x:v>
      </x:c>
      <x:c r="H3" s="54" t="n">
        <x:v>10</x:v>
      </x:c>
      <x:c r="I3" s="45" t="n">
        <x:f>MAX(F3,G3)</x:f>
        <x:v>164.93246623311657</x:v>
      </x:c>
      <x:c r="J3" s="58" t="n">
        <x:f>ROUND(ROUNDUP(I3/H3,0)*H3,2)</x:f>
        <x:v>170</x:v>
      </x:c>
      <x:c r="K3" s="33"/>
      <x:c r="L3" s="63" t="str">
        <x:v>17倍率区，86销售币种，103区币种组合，当前187条沙盒Price。</x:v>
      </x:c>
      <x:c r="M3" s="33"/>
      <x:c r="N3" s="33"/>
      <x:c r="O3" s="33"/>
    </x:row>
    <x:row r="4" ht="26" customHeight="1">
      <x:c r="A4" s="39" t="str">
        <x:v>Z020</x:v>
      </x:c>
      <x:c r="B4" s="39" t="str">
        <x:v>EGP</x:v>
      </x:c>
      <x:c r="C4" s="48" t="n">
        <x:v>0.2</x:v>
      </x:c>
      <x:c r="D4" s="51" t="n">
        <x:v>52.276138069034516</x:v>
      </x:c>
      <x:c r="E4" s="48" t="n">
        <x:v>0.99</x:v>
      </x:c>
      <x:c r="F4" s="45" t="n">
        <x:f>C4*D4*E4</x:f>
        <x:v>10.350675337668836</x:v>
      </x:c>
      <x:c r="G4" s="45" t="n">
        <x:v>31.36568284142071</x:v>
      </x:c>
      <x:c r="H4" s="54" t="n">
        <x:v>1</x:v>
      </x:c>
      <x:c r="I4" s="45" t="n">
        <x:f>MAX(F4,G4)</x:f>
        <x:v>31.36568284142071</x:v>
      </x:c>
      <x:c r="J4" s="58" t="n">
        <x:f>ROUND(ROUNDUP(I4/H4,0)*H4,2)</x:f>
        <x:v>32</x:v>
      </x:c>
      <x:c r="K4" s="33"/>
      <x:c r="L4" s="63" t="str">
        <x:v>Pro新购与下期续费用新Pro月／年；新Pro年＝月价×12。</x:v>
      </x:c>
      <x:c r="M4" s="33"/>
      <x:c r="N4" s="33"/>
      <x:c r="O4" s="33"/>
    </x:row>
    <x:row r="5" ht="26" customHeight="1">
      <x:c r="A5" s="39" t="str">
        <x:v>Z020</x:v>
      </x:c>
      <x:c r="B5" s="39" t="str">
        <x:v>NGN</x:v>
      </x:c>
      <x:c r="C5" s="48" t="n">
        <x:v>0.2</x:v>
      </x:c>
      <x:c r="D5" s="51" t="n">
        <x:v>1325.4127063531766</x:v>
      </x:c>
      <x:c r="E5" s="48" t="n">
        <x:v>0.99</x:v>
      </x:c>
      <x:c r="F5" s="45" t="n">
        <x:f>C5*D5*E5</x:f>
        <x:v>262.43171585792896</x:v>
      </x:c>
      <x:c r="G5" s="45" t="n">
        <x:v>795.2476238119059</x:v>
      </x:c>
      <x:c r="H5" s="54" t="n">
        <x:v>10</x:v>
      </x:c>
      <x:c r="I5" s="45" t="n">
        <x:f>MAX(F5,G5)</x:f>
        <x:v>795.2476238119059</x:v>
      </x:c>
      <x:c r="J5" s="58" t="n">
        <x:f>ROUND(ROUNDUP(I5/H5,0)*H5,2)</x:f>
        <x:v>800</x:v>
      </x:c>
      <x:c r="K5" s="33"/>
      <x:c r="L5" s="63" t="str">
        <x:v>仅需求确认时线上已购Pro，当期已付周期保留旧金额。</x:v>
      </x:c>
      <x:c r="M5" s="33"/>
      <x:c r="N5" s="33"/>
      <x:c r="O5" s="33"/>
    </x:row>
    <x:row r="6" ht="26" customHeight="1">
      <x:c r="A6" s="39" t="str">
        <x:v>Z020</x:v>
      </x:c>
      <x:c r="B6" s="39" t="str">
        <x:v>BDT</x:v>
      </x:c>
      <x:c r="C6" s="48" t="n">
        <x:v>0.2</x:v>
      </x:c>
      <x:c r="D6" s="51" t="n">
        <x:v>122.3111555777889</x:v>
      </x:c>
      <x:c r="E6" s="48" t="n">
        <x:v>0.99</x:v>
      </x:c>
      <x:c r="F6" s="45" t="n">
        <x:f>C6*D6*E6</x:f>
        <x:v>24.217608804402204</x:v>
      </x:c>
      <x:c r="G6" s="45" t="n">
        <x:v>73.38669334667334</x:v>
      </x:c>
      <x:c r="H6" s="54" t="n">
        <x:v>1</x:v>
      </x:c>
      <x:c r="I6" s="45" t="n">
        <x:f>MAX(F6,G6)</x:f>
        <x:v>73.38669334667334</x:v>
      </x:c>
      <x:c r="J6" s="58" t="n">
        <x:f>ROUND(ROUNDUP(I6/H6,0)*H6,2)</x:f>
        <x:v>74</x:v>
      </x:c>
      <x:c r="K6" s="33"/>
      <x:c r="L6" s="63" t="str">
        <x:v>原Pro历史列仅供核对；改用USD的7地历史列留空，避免币种混淆。</x:v>
      </x:c>
      <x:c r="M6" s="33"/>
      <x:c r="N6" s="33"/>
      <x:c r="O6" s="33"/>
    </x:row>
    <x:row r="7" ht="26" customHeight="1">
      <x:c r="A7" s="39" t="str">
        <x:v>Z020</x:v>
      </x:c>
      <x:c r="B7" s="39" t="str">
        <x:v>ETB</x:v>
      </x:c>
      <x:c r="C7" s="48" t="n">
        <x:v>0.2</x:v>
      </x:c>
      <x:c r="D7" s="51" t="n">
        <x:v>162.33116558279139</x:v>
      </x:c>
      <x:c r="E7" s="48" t="n">
        <x:v>0.99</x:v>
      </x:c>
      <x:c r="F7" s="45" t="n">
        <x:f>C7*D7*E7</x:f>
        <x:v>32.141570785392695</x:v>
      </x:c>
      <x:c r="G7" s="45" t="n">
        <x:v>97.39869934967484</x:v>
      </x:c>
      <x:c r="H7" s="54" t="n">
        <x:v>1</x:v>
      </x:c>
      <x:c r="I7" s="45" t="n">
        <x:f>MAX(F7,G7)</x:f>
        <x:v>97.39869934967484</x:v>
      </x:c>
      <x:c r="J7" s="58" t="n">
        <x:f>ROUND(ROUNDUP(I7/H7,0)*H7,2)</x:f>
        <x:v>98</x:v>
      </x:c>
      <x:c r="K7" s="33"/>
      <x:c r="L7" s="63" t="str">
        <x:v>试用7天为付费首段；Study Pass月按自然月订阅，不是每30天。</x:v>
      </x:c>
      <x:c r="M7" s="33"/>
      <x:c r="N7" s="33"/>
      <x:c r="O7" s="33"/>
    </x:row>
    <x:row r="8" ht="26" customHeight="1">
      <x:c r="A8" s="39" t="str">
        <x:v>Z020</x:v>
      </x:c>
      <x:c r="B8" s="39" t="str">
        <x:v>MWK</x:v>
      </x:c>
      <x:c r="C8" s="48" t="n">
        <x:v>0.2</x:v>
      </x:c>
      <x:c r="D8" s="51" t="n">
        <x:v>1750.625312656328</x:v>
      </x:c>
      <x:c r="E8" s="48" t="n">
        <x:v>0.99</x:v>
      </x:c>
      <x:c r="F8" s="45" t="n">
        <x:f>C8*D8*E8</x:f>
        <x:v>346.623811905953</x:v>
      </x:c>
      <x:c r="G8" s="45" t="n">
        <x:v>1050.375187593797</x:v>
      </x:c>
      <x:c r="H8" s="54" t="n">
        <x:v>100</x:v>
      </x:c>
      <x:c r="I8" s="45" t="n">
        <x:f>MAX(F8,G8)</x:f>
        <x:v>1050.375187593797</x:v>
      </x:c>
      <x:c r="J8" s="58" t="n">
        <x:f>ROUND(ROUNDUP(I8/H8,0)*H8,2)</x:f>
        <x:v>1100</x:v>
      </x:c>
      <x:c r="K8" s="33"/>
      <x:c r="L8" s="63" t="str">
        <x:v>全部金额为币种主单位；额外包保留既有税行为，税外另计。</x:v>
      </x:c>
      <x:c r="M8" s="33"/>
      <x:c r="N8" s="33"/>
      <x:c r="O8" s="33"/>
    </x:row>
    <x:row r="9" ht="26" customHeight="1">
      <x:c r="A9" s="39" t="str">
        <x:v>Z020</x:v>
      </x:c>
      <x:c r="B9" s="39" t="str">
        <x:v>USD</x:v>
      </x:c>
      <x:c r="C9" s="48" t="n">
        <x:v>0.2</x:v>
      </x:c>
      <x:c r="D9" s="51" t="n">
        <x:v>1</x:v>
      </x:c>
      <x:c r="E9" s="48" t="n">
        <x:v>0.99</x:v>
      </x:c>
      <x:c r="F9" s="45" t="n">
        <x:f>C9*D9*E9</x:f>
        <x:v>0.198</x:v>
      </x:c>
      <x:c r="G9" s="45" t="n">
        <x:v>0.6</x:v>
      </x:c>
      <x:c r="H9" s="54" t="n">
        <x:v>0.01</x:v>
      </x:c>
      <x:c r="I9" s="45" t="n">
        <x:f>MAX(F9,G9)</x:f>
        <x:v>0.6</x:v>
      </x:c>
      <x:c r="J9" s="58" t="n">
        <x:f>ROUND(ROUNDUP(I9/H9,0)*H9,2)</x:f>
        <x:v>0.6</x:v>
      </x:c>
      <x:c r="K9" s="33"/>
      <x:c r="L9" s="63" t="str">
        <x:v>金额源：地区SKU价格与可行性.xlsx／分组价格；TH、AT取补充表。</x:v>
      </x:c>
      <x:c r="M9" s="33"/>
      <x:c r="N9" s="33"/>
      <x:c r="O9" s="33"/>
    </x:row>
    <x:row r="10" ht="26" customHeight="1">
      <x:c r="A10" s="39" t="str">
        <x:v>Z020</x:v>
      </x:c>
      <x:c r="B10" s="39" t="str">
        <x:v>ILS</x:v>
      </x:c>
      <x:c r="C10" s="48" t="n">
        <x:v>0.2</x:v>
      </x:c>
      <x:c r="D10" s="51" t="n">
        <x:v>2.998999499749875</x:v>
      </x:c>
      <x:c r="E10" s="48" t="n">
        <x:v>0.99</x:v>
      </x:c>
      <x:c r="F10" s="45" t="n">
        <x:f>C10*D10*E10</x:f>
        <x:v>0.5938019009504752</x:v>
      </x:c>
      <x:c r="G10" s="45" t="n">
        <x:v>1.7993996998499249</x:v>
      </x:c>
      <x:c r="H10" s="54" t="n">
        <x:v>0.1</x:v>
      </x:c>
      <x:c r="I10" s="45" t="n">
        <x:f>MAX(F10,G10)</x:f>
        <x:v>1.7993996998499249</x:v>
      </x:c>
      <x:c r="J10" s="58" t="n">
        <x:f>ROUND(ROUNDUP(I10/H10,0)*H10,2)</x:f>
        <x:v>1.8</x:v>
      </x:c>
      <x:c r="K10" s="33"/>
      <x:c r="L10" s="63" t="str">
        <x:v>价格补充：地区价格补充与美元替代.xlsx／价格补充。</x:v>
      </x:c>
      <x:c r="M10" s="33"/>
      <x:c r="N10" s="33"/>
      <x:c r="O10" s="33"/>
    </x:row>
    <x:row r="11" ht="26" customHeight="1">
      <x:c r="A11" s="39" t="str">
        <x:v>Z020</x:v>
      </x:c>
      <x:c r="B11" s="39" t="str">
        <x:v>RWF</x:v>
      </x:c>
      <x:c r="C11" s="48" t="n">
        <x:v>0.2</x:v>
      </x:c>
      <x:c r="D11" s="51" t="n">
        <x:v>1475.487743871936</x:v>
      </x:c>
      <x:c r="E11" s="48" t="n">
        <x:v>0.99</x:v>
      </x:c>
      <x:c r="F11" s="45" t="n">
        <x:f>C11*D11*E11</x:f>
        <x:v>292.14657328664333</x:v>
      </x:c>
      <x:c r="G11" s="45" t="n">
        <x:v>885.2926463231615</x:v>
      </x:c>
      <x:c r="H11" s="54" t="n">
        <x:v>10</x:v>
      </x:c>
      <x:c r="I11" s="45" t="n">
        <x:f>MAX(F11,G11)</x:f>
        <x:v>885.2926463231615</x:v>
      </x:c>
      <x:c r="J11" s="58" t="n">
        <x:f>ROUND(ROUNDUP(I11/H11,0)*H11,2)</x:f>
        <x:v>890</x:v>
      </x:c>
      <x:c r="K11" s="33"/>
      <x:c r="L11" s="63" t="str">
        <x:v>r8按用户批准表调整6地区44项；其余1210项金额保留。</x:v>
      </x:c>
      <x:c r="M11" s="33"/>
      <x:c r="N11" s="33"/>
      <x:c r="O11" s="33"/>
    </x:row>
    <x:row r="12" ht="26" customHeight="1">
      <x:c r="A12" s="39" t="str">
        <x:v>Z020</x:v>
      </x:c>
      <x:c r="B12" s="39" t="str">
        <x:v>TZS</x:v>
      </x:c>
      <x:c r="C12" s="48" t="n">
        <x:v>0.2</x:v>
      </x:c>
      <x:c r="D12" s="51" t="n">
        <x:v>2726.363181590795</x:v>
      </x:c>
      <x:c r="E12" s="48" t="n">
        <x:v>0.99</x:v>
      </x:c>
      <x:c r="F12" s="45" t="n">
        <x:f>C12*D12*E12</x:f>
        <x:v>539.8199099549774</x:v>
      </x:c>
      <x:c r="G12" s="45" t="n">
        <x:v>1635.8179089544772</x:v>
      </x:c>
      <x:c r="H12" s="54" t="n">
        <x:v>100</x:v>
      </x:c>
      <x:c r="I12" s="45" t="n">
        <x:f>MAX(F12,G12)</x:f>
        <x:v>1635.8179089544772</x:v>
      </x:c>
      <x:c r="J12" s="58" t="n">
        <x:f>ROUND(ROUNDUP(I12/H12,0)*H12,2)</x:f>
        <x:v>1700</x:v>
      </x:c>
      <x:c r="K12" s="33"/>
      <x:c r="L12" s="63" t="str">
        <x:v>GH、TN、IQ、JO、VE、KW、OM的USD替代价已经用户明确批准。</x:v>
      </x:c>
      <x:c r="M12" s="33"/>
      <x:c r="N12" s="33"/>
      <x:c r="O12" s="33"/>
    </x:row>
    <x:row r="13" ht="26" customHeight="1">
      <x:c r="A13" s="39" t="str">
        <x:v>Z020</x:v>
      </x:c>
      <x:c r="B13" s="39" t="str">
        <x:v>UGX</x:v>
      </x:c>
      <x:c r="C13" s="48" t="n">
        <x:v>0.2</x:v>
      </x:c>
      <x:c r="D13" s="51" t="n">
        <x:v>3976.9884942471235</x:v>
      </x:c>
      <x:c r="E13" s="48" t="n">
        <x:v>0.99</x:v>
      </x:c>
      <x:c r="F13" s="45" t="n">
        <x:f>C13*D13*E13</x:f>
        <x:v>787.4437218609305</x:v>
      </x:c>
      <x:c r="G13" s="45" t="n">
        <x:v>2386.1930965482743</x:v>
      </x:c>
      <x:c r="H13" s="54" t="n">
        <x:v>100</x:v>
      </x:c>
      <x:c r="I13" s="45" t="n">
        <x:f>MAX(F13,G13)</x:f>
        <x:v>2386.1930965482743</x:v>
      </x:c>
      <x:c r="J13" s="58" t="n">
        <x:f>ROUND(ROUNDUP(I13/H13,0)*H13,2)</x:f>
        <x:v>2400</x:v>
      </x:c>
      <x:c r="K13" s="33"/>
      <x:c r="L13" s="63" t="str">
        <x:v>Pass＝USD0.99×系数×固定本币参考；参考非实时或Stripe结算汇率。</x:v>
      </x:c>
      <x:c r="M13" s="33"/>
      <x:c r="N13" s="33"/>
      <x:c r="O13" s="33"/>
    </x:row>
    <x:row r="14" ht="26" customHeight="1">
      <x:c r="A14" s="39" t="str">
        <x:v>Z020</x:v>
      </x:c>
      <x:c r="B14" s="39" t="str">
        <x:v>ZMW</x:v>
      </x:c>
      <x:c r="C14" s="48" t="n">
        <x:v>0.2</x:v>
      </x:c>
      <x:c r="D14" s="51" t="n">
        <x:v>19.759879939969984</x:v>
      </x:c>
      <x:c r="E14" s="48" t="n">
        <x:v>0.99</x:v>
      </x:c>
      <x:c r="F14" s="45" t="n">
        <x:f>C14*D14*E14</x:f>
        <x:v>3.9124562281140567</x:v>
      </x:c>
      <x:c r="G14" s="45" t="n">
        <x:v>11.85592796398199</x:v>
      </x:c>
      <x:c r="H14" s="54" t="n">
        <x:v>1</x:v>
      </x:c>
      <x:c r="I14" s="45" t="n">
        <x:f>MAX(F14,G14)</x:f>
        <x:v>11.85592796398199</x:v>
      </x:c>
      <x:c r="J14" s="58" t="n">
        <x:f>ROUND(ROUNDUP(I14/H14,0)*H14,2)</x:f>
        <x:v>12</x:v>
      </x:c>
      <x:c r="K14" s="33"/>
      <x:c r="L14" s="63" t="str">
        <x:v>低额参考＝max(USD0.60等值缓冲、HKD4等值、官方同币种结算最低额)。</x:v>
      </x:c>
      <x:c r="M14" s="33"/>
      <x:c r="N14" s="33"/>
      <x:c r="O14" s="33"/>
    </x:row>
    <x:row r="15" ht="26" customHeight="1">
      <x:c r="A15" s="39" t="str">
        <x:v>Z020</x:v>
      </x:c>
      <x:c r="B15" s="39" t="str">
        <x:v>AFN</x:v>
      </x:c>
      <x:c r="C15" s="48" t="n">
        <x:v>0.2</x:v>
      </x:c>
      <x:c r="D15" s="51" t="n">
        <x:v>64.7823911955978</x:v>
      </x:c>
      <x:c r="E15" s="48" t="n">
        <x:v>0.99</x:v>
      </x:c>
      <x:c r="F15" s="45" t="n">
        <x:f>C15*D15*E15</x:f>
        <x:v>12.826913456728365</x:v>
      </x:c>
      <x:c r="G15" s="45" t="n">
        <x:v>38.86943471735868</x:v>
      </x:c>
      <x:c r="H15" s="54" t="n">
        <x:v>1</x:v>
      </x:c>
      <x:c r="I15" s="45" t="n">
        <x:f>MAX(F15,G15)</x:f>
        <x:v>38.86943471735868</x:v>
      </x:c>
      <x:c r="J15" s="58" t="n">
        <x:f>ROUND(ROUNDUP(I15/H15,0)*H15,2)</x:f>
        <x:v>39</x:v>
      </x:c>
      <x:c r="K15" s="33"/>
      <x:c r="L15" s="63" t="str">
        <x:v>原币种沿用步长；新增币种按原规则选择步长，再向上取整。</x:v>
      </x:c>
      <x:c r="M15" s="33"/>
      <x:c r="N15" s="33"/>
      <x:c r="O15" s="33"/>
    </x:row>
    <x:row r="16" ht="26" customHeight="1">
      <x:c r="A16" s="39" t="str">
        <x:v>Z020</x:v>
      </x:c>
      <x:c r="B16" s="39" t="str">
        <x:v>XAF</x:v>
      </x:c>
      <x:c r="C16" s="48" t="n">
        <x:v>0.2</x:v>
      </x:c>
      <x:c r="D16" s="51" t="n">
        <x:v>575.0375187593797</x:v>
      </x:c>
      <x:c r="E16" s="48" t="n">
        <x:v>0.99</x:v>
      </x:c>
      <x:c r="F16" s="45" t="n">
        <x:f>C16*D16*E16</x:f>
        <x:v>113.8574287143572</x:v>
      </x:c>
      <x:c r="G16" s="45" t="n">
        <x:v>345.0225112556278</x:v>
      </x:c>
      <x:c r="H16" s="54" t="n">
        <x:v>10</x:v>
      </x:c>
      <x:c r="I16" s="45" t="n">
        <x:f>MAX(F16,G16)</x:f>
        <x:v>345.0225112556278</x:v>
      </x:c>
      <x:c r="J16" s="58" t="n">
        <x:f>ROUND(ROUNDUP(I16/H16,0)*H16,2)</x:f>
        <x:v>350</x:v>
      </x:c>
      <x:c r="K16" s="33"/>
      <x:c r="L16" s="63" t="str">
        <x:v>当前沙盒Price金额已回读；实际首付、优惠后非零金额和续费尚未测试。</x:v>
      </x:c>
      <x:c r="M16" s="33"/>
      <x:c r="N16" s="33"/>
      <x:c r="O16" s="33"/>
    </x:row>
    <x:row r="17" ht="26" customHeight="1">
      <x:c r="A17" s="39" t="str">
        <x:v>Z020</x:v>
      </x:c>
      <x:c r="B17" s="39" t="str">
        <x:v>LAK</x:v>
      </x:c>
      <x:c r="C17" s="48" t="n">
        <x:v>0.2</x:v>
      </x:c>
      <x:c r="D17" s="51" t="n">
        <x:v>22236.118059029515</x:v>
      </x:c>
      <x:c r="E17" s="48" t="n">
        <x:v>0.99</x:v>
      </x:c>
      <x:c r="F17" s="45" t="n">
        <x:f>C17*D17*E17</x:f>
        <x:v>4402.751375687844</x:v>
      </x:c>
      <x:c r="G17" s="45" t="n">
        <x:v>13341.670835417708</x:v>
      </x:c>
      <x:c r="H17" s="54" t="n">
        <x:v>100</x:v>
      </x:c>
      <x:c r="I17" s="45" t="n">
        <x:f>MAX(F17,G17)</x:f>
        <x:v>13341.670835417708</x:v>
      </x:c>
      <x:c r="J17" s="58" t="n">
        <x:f>ROUND(ROUNDUP(I17/H17,0)*H17,2)</x:f>
        <x:v>13400</x:v>
      </x:c>
      <x:c r="K17" s="33"/>
      <x:c r="L17" s="63" t="str">
        <x:v>本轮仅价格文档和沙盒；业务代码、生产及订阅未改动。</x:v>
      </x:c>
      <x:c r="M17" s="33"/>
      <x:c r="N17" s="33"/>
      <x:c r="O17" s="33"/>
    </x:row>
    <x:row r="18" ht="26" customHeight="1">
      <x:c r="A18" s="39" t="str">
        <x:v>Z020</x:v>
      </x:c>
      <x:c r="B18" s="39" t="str">
        <x:v>LRD</x:v>
      </x:c>
      <x:c r="C18" s="48" t="n">
        <x:v>0.2</x:v>
      </x:c>
      <x:c r="D18" s="51" t="n">
        <x:v>169.83491745872936</x:v>
      </x:c>
      <x:c r="E18" s="48" t="n">
        <x:v>0.99</x:v>
      </x:c>
      <x:c r="F18" s="45" t="n">
        <x:f>C18*D18*E18</x:f>
        <x:v>33.62731365682841</x:v>
      </x:c>
      <x:c r="G18" s="45" t="n">
        <x:v>101.90095047523762</x:v>
      </x:c>
      <x:c r="H18" s="54" t="n">
        <x:v>10</x:v>
      </x:c>
      <x:c r="I18" s="45" t="n">
        <x:f>MAX(F18,G18)</x:f>
        <x:v>101.90095047523762</x:v>
      </x:c>
      <x:c r="J18" s="58" t="n">
        <x:f>ROUND(ROUNDUP(I18/H18,0)*H18,2)</x:f>
        <x:v>110</x:v>
      </x:c>
      <x:c r="K18" s="33"/>
      <x:c r="L18" s="63" t="str">
        <x:v>Stripe币种／最低额规则：https://docs.stripe.com/currencies</x:v>
      </x:c>
      <x:c r="M18" s="33"/>
      <x:c r="N18" s="33"/>
      <x:c r="O18" s="33"/>
    </x:row>
    <x:row r="19" ht="26" customHeight="1">
      <x:c r="A19" s="39" t="str">
        <x:v>Z020</x:v>
      </x:c>
      <x:c r="B19" s="39" t="str">
        <x:v>MMK</x:v>
      </x:c>
      <x:c r="C19" s="48" t="n">
        <x:v>0.2</x:v>
      </x:c>
      <x:c r="D19" s="51" t="n">
        <x:v>2100.8004002001</x:v>
      </x:c>
      <x:c r="E19" s="48" t="n">
        <x:v>0.99</x:v>
      </x:c>
      <x:c r="F19" s="45" t="n">
        <x:f>C19*D19*E19</x:f>
        <x:v>415.95847923961975</x:v>
      </x:c>
      <x:c r="G19" s="45" t="n">
        <x:v>1260.48024012006</x:v>
      </x:c>
      <x:c r="H19" s="54" t="n">
        <x:v>100</x:v>
      </x:c>
      <x:c r="I19" s="45" t="n">
        <x:f>MAX(F19,G19)</x:f>
        <x:v>1260.48024012006</x:v>
      </x:c>
      <x:c r="J19" s="58" t="n">
        <x:f>ROUND(ROUNDUP(I19/H19,0)*H19,2)</x:f>
        <x:v>1300</x:v>
      </x:c>
      <x:c r="K19" s="33"/>
      <x:c r="L19" s="63" t="str">
        <x:v>根价格JSON：openspec/changes/add-brazil-regional-pricing/regional-expansion-prices.json</x:v>
      </x:c>
      <x:c r="M19" s="33"/>
      <x:c r="N19" s="33"/>
      <x:c r="O19" s="33"/>
    </x:row>
    <x:row r="20" ht="26" customHeight="1">
      <x:c r="A20" s="39" t="str">
        <x:v>Z020</x:v>
      </x:c>
      <x:c r="B20" s="39" t="str">
        <x:v>NPR</x:v>
      </x:c>
      <x:c r="C20" s="48" t="n">
        <x:v>0.2</x:v>
      </x:c>
      <x:c r="D20" s="51" t="n">
        <x:v>152.32616308154078</x:v>
      </x:c>
      <x:c r="E20" s="48" t="n">
        <x:v>0.99</x:v>
      </x:c>
      <x:c r="F20" s="45" t="n">
        <x:f>C20*D20*E20</x:f>
        <x:v>30.160580290145074</x:v>
      </x:c>
      <x:c r="G20" s="45" t="n">
        <x:v>91.39569784892446</x:v>
      </x:c>
      <x:c r="H20" s="54" t="n">
        <x:v>1</x:v>
      </x:c>
      <x:c r="I20" s="45" t="n">
        <x:f>MAX(F20,G20)</x:f>
        <x:v>91.39569784892446</x:v>
      </x:c>
      <x:c r="J20" s="58" t="n">
        <x:f>ROUND(ROUNDUP(I20/H20,0)*H20,2)</x:f>
        <x:v>92</x:v>
      </x:c>
      <x:c r="K20" s="33"/>
      <x:c r="L20" s="63" t="str">
        <x:v>沙盒证据：outputs/regional-pricing-approved-r8-01a14e97/stripe/verification.json</x:v>
      </x:c>
      <x:c r="M20" s="33"/>
      <x:c r="N20" s="33"/>
      <x:c r="O20" s="33"/>
    </x:row>
    <x:row r="21" ht="26" customHeight="1">
      <x:c r="A21" s="39" t="str">
        <x:v>Z020</x:v>
      </x:c>
      <x:c r="B21" s="39" t="str">
        <x:v>UZS</x:v>
      </x:c>
      <x:c r="C21" s="48" t="n">
        <x:v>0.2</x:v>
      </x:c>
      <x:c r="D21" s="51" t="n">
        <x:v>11980.990495247624</x:v>
      </x:c>
      <x:c r="E21" s="48" t="n">
        <x:v>0.99</x:v>
      </x:c>
      <x:c r="F21" s="45" t="n">
        <x:f>C21*D21*E21</x:f>
        <x:v>2372.2361180590296</x:v>
      </x:c>
      <x:c r="G21" s="45" t="n">
        <x:v>7188.594297148575</x:v>
      </x:c>
      <x:c r="H21" s="54" t="n">
        <x:v>100</x:v>
      </x:c>
      <x:c r="I21" s="45" t="n">
        <x:f>MAX(F21,G21)</x:f>
        <x:v>7188.594297148575</x:v>
      </x:c>
      <x:c r="J21" s="58" t="n">
        <x:f>ROUND(ROUNDUP(I21/H21,0)*H21,2)</x:f>
        <x:v>7200</x:v>
      </x:c>
      <x:c r="K21" s="33"/>
      <x:c r="L21" s="63" t="str">
        <x:v>UGX主单位整数，API兼容乘100；CLP／XAF／XOF为零小数charge币种。</x:v>
      </x:c>
      <x:c r="M21" s="33"/>
      <x:c r="N21" s="33"/>
      <x:c r="O21" s="33"/>
    </x:row>
    <x:row r="22" ht="26" customHeight="1">
      <x:c r="A22" s="39" t="str">
        <x:v>Z025</x:v>
      </x:c>
      <x:c r="B22" s="39" t="str">
        <x:v>VND</x:v>
      </x:c>
      <x:c r="C22" s="48" t="n">
        <x:v>0.25</x:v>
      </x:c>
      <x:c r="D22" s="51" t="n">
        <x:v>25812.906453226613</x:v>
      </x:c>
      <x:c r="E22" s="48" t="n">
        <x:v>0.99</x:v>
      </x:c>
      <x:c r="F22" s="45" t="n">
        <x:f>C22*D22*E22</x:f>
        <x:v>6388.694347173587</x:v>
      </x:c>
      <x:c r="G22" s="45" t="n">
        <x:v>15487.743871935969</x:v>
      </x:c>
      <x:c r="H22" s="54" t="n">
        <x:v>100</x:v>
      </x:c>
      <x:c r="I22" s="45" t="n">
        <x:f>MAX(F22,G22)</x:f>
        <x:v>15487.743871935969</x:v>
      </x:c>
      <x:c r="J22" s="58" t="n">
        <x:f>ROUND(ROUNDUP(I22/H22,0)*H22,2)</x:f>
        <x:v>15500</x:v>
      </x:c>
      <x:c r="K22" s="33"/>
      <x:c r="L22" s="63" t="str">
        <x:v>HUF按两位charge单位；支付渠道与实际最低额仍须独立验收。</x:v>
      </x:c>
      <x:c r="M22" s="33"/>
      <x:c r="N22" s="33"/>
      <x:c r="O22" s="33"/>
    </x:row>
    <x:row r="23" ht="26" customHeight="1">
      <x:c r="A23" s="39" t="str">
        <x:v>Z025</x:v>
      </x:c>
      <x:c r="B23" s="39" t="str">
        <x:v>IDR</x:v>
      </x:c>
      <x:c r="C23" s="48" t="n">
        <x:v>0.25</x:v>
      </x:c>
      <x:c r="D23" s="51" t="n">
        <x:v>17988.994497248623</x:v>
      </x:c>
      <x:c r="E23" s="48" t="n">
        <x:v>0.99</x:v>
      </x:c>
      <x:c r="F23" s="45" t="n">
        <x:f>C23*D23*E23</x:f>
        <x:v>4452.2761380690345</x:v>
      </x:c>
      <x:c r="G23" s="45" t="n">
        <x:v>10793.396698349175</x:v>
      </x:c>
      <x:c r="H23" s="54" t="n">
        <x:v>100</x:v>
      </x:c>
      <x:c r="I23" s="45" t="n">
        <x:f>MAX(F23,G23)</x:f>
        <x:v>10793.396698349175</x:v>
      </x:c>
      <x:c r="J23" s="58" t="n">
        <x:f>ROUND(ROUNDUP(I23/H23,0)*H23,2)</x:f>
        <x:v>10800</x:v>
      </x:c>
      <x:c r="K23" s="33"/>
      <x:c r="L23" s="33"/>
      <x:c r="M23" s="33"/>
      <x:c r="N23" s="33"/>
      <x:c r="O23" s="33"/>
    </x:row>
    <x:row r="24" ht="26" customHeight="1">
      <x:c r="A24" s="39" t="str">
        <x:v>Z025</x:v>
      </x:c>
      <x:c r="B24" s="39" t="str">
        <x:v>KES</x:v>
      </x:c>
      <x:c r="C24" s="48" t="n">
        <x:v>0.25</x:v>
      </x:c>
      <x:c r="D24" s="51" t="n">
        <x:v>129.8649324662331</x:v>
      </x:c>
      <x:c r="E24" s="48" t="n">
        <x:v>0.99</x:v>
      </x:c>
      <x:c r="F24" s="45" t="n">
        <x:f>C24*D24*E24</x:f>
        <x:v>32.141570785392695</x:v>
      </x:c>
      <x:c r="G24" s="45" t="n">
        <x:v>77.91895947973987</x:v>
      </x:c>
      <x:c r="H24" s="54" t="n">
        <x:v>1</x:v>
      </x:c>
      <x:c r="I24" s="45" t="n">
        <x:f>MAX(F24,G24)</x:f>
        <x:v>77.91895947973987</x:v>
      </x:c>
      <x:c r="J24" s="58" t="n">
        <x:f>ROUND(ROUNDUP(I24/H24,0)*H24,2)</x:f>
        <x:v>78</x:v>
      </x:c>
      <x:c r="K24" s="33"/>
      <x:c r="L24" s="33"/>
      <x:c r="M24" s="33"/>
      <x:c r="N24" s="33"/>
      <x:c r="O24" s="33"/>
    </x:row>
    <x:row r="25" ht="26" customHeight="1">
      <x:c r="A25" s="39" t="str">
        <x:v>Z025</x:v>
      </x:c>
      <x:c r="B25" s="39" t="str">
        <x:v>UAH</x:v>
      </x:c>
      <x:c r="C25" s="48" t="n">
        <x:v>0.25</x:v>
      </x:c>
      <x:c r="D25" s="51" t="n">
        <x:v>45.82291145572786</x:v>
      </x:c>
      <x:c r="E25" s="48" t="n">
        <x:v>0.99</x:v>
      </x:c>
      <x:c r="F25" s="45" t="n">
        <x:f>C25*D25*E25</x:f>
        <x:v>11.341170585292646</x:v>
      </x:c>
      <x:c r="G25" s="45" t="n">
        <x:v>27.49374687343672</x:v>
      </x:c>
      <x:c r="H25" s="54" t="n">
        <x:v>1</x:v>
      </x:c>
      <x:c r="I25" s="45" t="n">
        <x:f>MAX(F25,G25)</x:f>
        <x:v>27.49374687343672</x:v>
      </x:c>
      <x:c r="J25" s="58" t="n">
        <x:f>ROUND(ROUNDUP(I25/H25,0)*H25,2)</x:f>
        <x:v>28</x:v>
      </x:c>
      <x:c r="K25" s="33"/>
      <x:c r="L25" s="33"/>
      <x:c r="M25" s="33"/>
      <x:c r="N25" s="33"/>
      <x:c r="O25" s="33"/>
    </x:row>
    <x:row r="26" ht="26" customHeight="1">
      <x:c r="A26" s="39" t="str">
        <x:v>Z025</x:v>
      </x:c>
      <x:c r="B26" s="39" t="str">
        <x:v>BOB</x:v>
      </x:c>
      <x:c r="C26" s="48" t="n">
        <x:v>0.25</x:v>
      </x:c>
      <x:c r="D26" s="51" t="n">
        <x:v>11.803901950975488</x:v>
      </x:c>
      <x:c r="E26" s="48" t="n">
        <x:v>0.99</x:v>
      </x:c>
      <x:c r="F26" s="45" t="n">
        <x:f>C26*D26*E26</x:f>
        <x:v>2.9214657328664333</x:v>
      </x:c>
      <x:c r="G26" s="45" t="n">
        <x:v>7.082341170585293</x:v>
      </x:c>
      <x:c r="H26" s="54" t="n">
        <x:v>0.1</x:v>
      </x:c>
      <x:c r="I26" s="45" t="n">
        <x:f>MAX(F26,G26)</x:f>
        <x:v>7.082341170585293</x:v>
      </x:c>
      <x:c r="J26" s="58" t="n">
        <x:f>ROUND(ROUNDUP(I26/H26,0)*H26,2)</x:f>
        <x:v>7.1</x:v>
      </x:c>
      <x:c r="K26" s="33"/>
      <x:c r="L26" s="33"/>
      <x:c r="M26" s="33"/>
      <x:c r="N26" s="33"/>
      <x:c r="O26" s="33"/>
    </x:row>
    <x:row r="27" ht="26" customHeight="1">
      <x:c r="A27" s="39" t="str">
        <x:v>Z025</x:v>
      </x:c>
      <x:c r="B27" s="39" t="str">
        <x:v>USD</x:v>
      </x:c>
      <x:c r="C27" s="48" t="n">
        <x:v>0.25</x:v>
      </x:c>
      <x:c r="D27" s="51" t="n">
        <x:v>1</x:v>
      </x:c>
      <x:c r="E27" s="48" t="n">
        <x:v>0.99</x:v>
      </x:c>
      <x:c r="F27" s="45" t="n">
        <x:f>C27*D27*E27</x:f>
        <x:v>0.2475</x:v>
      </x:c>
      <x:c r="G27" s="45" t="n">
        <x:v>0.6</x:v>
      </x:c>
      <x:c r="H27" s="54" t="n">
        <x:v>0.01</x:v>
      </x:c>
      <x:c r="I27" s="45" t="n">
        <x:f>MAX(F27,G27)</x:f>
        <x:v>0.6</x:v>
      </x:c>
      <x:c r="J27" s="58" t="n">
        <x:f>ROUND(ROUNDUP(I27/H27,0)*H27,2)</x:f>
        <x:v>0.6</x:v>
      </x:c>
      <x:c r="K27" s="33"/>
      <x:c r="L27" s="33"/>
      <x:c r="M27" s="33"/>
      <x:c r="N27" s="33"/>
      <x:c r="O27" s="33"/>
    </x:row>
    <x:row r="28" ht="26" customHeight="1">
      <x:c r="A28" s="39" t="str">
        <x:v>Z025</x:v>
      </x:c>
      <x:c r="B28" s="39" t="str">
        <x:v>LKR</x:v>
      </x:c>
      <x:c r="C28" s="48" t="n">
        <x:v>0.25</x:v>
      </x:c>
      <x:c r="D28" s="51" t="n">
        <x:v>339.9699849924962</x:v>
      </x:c>
      <x:c r="E28" s="48" t="n">
        <x:v>0.99</x:v>
      </x:c>
      <x:c r="F28" s="45" t="n">
        <x:f>C28*D28*E28</x:f>
        <x:v>84.14257128564282</x:v>
      </x:c>
      <x:c r="G28" s="45" t="n">
        <x:v>203.98199099549774</x:v>
      </x:c>
      <x:c r="H28" s="54" t="n">
        <x:v>10</x:v>
      </x:c>
      <x:c r="I28" s="45" t="n">
        <x:f>MAX(F28,G28)</x:f>
        <x:v>203.98199099549774</x:v>
      </x:c>
      <x:c r="J28" s="58" t="n">
        <x:f>ROUND(ROUNDUP(I28/H28,0)*H28,2)</x:f>
        <x:v>210</x:v>
      </x:c>
      <x:c r="K28" s="33"/>
      <x:c r="L28" s="33"/>
      <x:c r="M28" s="33"/>
      <x:c r="N28" s="33"/>
      <x:c r="O28" s="33"/>
    </x:row>
    <x:row r="29" ht="26" customHeight="1">
      <x:c r="A29" s="39" t="str">
        <x:v>Z025</x:v>
      </x:c>
      <x:c r="B29" s="39" t="str">
        <x:v>KHR</x:v>
      </x:c>
      <x:c r="C29" s="48" t="n">
        <x:v>0.25</x:v>
      </x:c>
      <x:c r="D29" s="51" t="n">
        <x:v>3981.990995497749</x:v>
      </x:c>
      <x:c r="E29" s="48" t="n">
        <x:v>0.99</x:v>
      </x:c>
      <x:c r="F29" s="45" t="n">
        <x:f>C29*D29*E29</x:f>
        <x:v>985.5427713856928</x:v>
      </x:c>
      <x:c r="G29" s="45" t="n">
        <x:v>2389.194597298649</x:v>
      </x:c>
      <x:c r="H29" s="54" t="n">
        <x:v>100</x:v>
      </x:c>
      <x:c r="I29" s="45" t="n">
        <x:f>MAX(F29,G29)</x:f>
        <x:v>2389.194597298649</x:v>
      </x:c>
      <x:c r="J29" s="58" t="n">
        <x:f>ROUND(ROUNDUP(I29/H29,0)*H29,2)</x:f>
        <x:v>2400</x:v>
      </x:c>
      <x:c r="K29" s="33"/>
      <x:c r="L29" s="33"/>
      <x:c r="M29" s="33"/>
      <x:c r="N29" s="33"/>
      <x:c r="O29" s="33"/>
    </x:row>
    <x:row r="30" ht="26" customHeight="1">
      <x:c r="A30" s="39" t="str">
        <x:v>Z025</x:v>
      </x:c>
      <x:c r="B30" s="39" t="str">
        <x:v>XOF</x:v>
      </x:c>
      <x:c r="C30" s="48" t="n">
        <x:v>0.25</x:v>
      </x:c>
      <x:c r="D30" s="51" t="n">
        <x:v>580.0900450225113</x:v>
      </x:c>
      <x:c r="E30" s="48" t="n">
        <x:v>0.99</x:v>
      </x:c>
      <x:c r="F30" s="45" t="n">
        <x:f>C30*D30*E30</x:f>
        <x:v>143.57228614307155</x:v>
      </x:c>
      <x:c r="G30" s="45" t="n">
        <x:v>348.05402701350675</x:v>
      </x:c>
      <x:c r="H30" s="54" t="n">
        <x:v>10</x:v>
      </x:c>
      <x:c r="I30" s="45" t="n">
        <x:f>MAX(F30,G30)</x:f>
        <x:v>348.05402701350675</x:v>
      </x:c>
      <x:c r="J30" s="58" t="n">
        <x:f>ROUND(ROUNDUP(I30/H30,0)*H30,2)</x:f>
        <x:v>350</x:v>
      </x:c>
      <x:c r="K30" s="33"/>
      <x:c r="L30" s="33"/>
      <x:c r="M30" s="33"/>
      <x:c r="N30" s="33"/>
      <x:c r="O30" s="33"/>
    </x:row>
    <x:row r="31" ht="26" customHeight="1">
      <x:c r="A31" s="39" t="str">
        <x:v>Z030</x:v>
      </x:c>
      <x:c r="B31" s="39" t="str">
        <x:v>PHP</x:v>
      </x:c>
      <x:c r="C31" s="48" t="n">
        <x:v>0.3</x:v>
      </x:c>
      <x:c r="D31" s="51" t="n">
        <x:v>63.19826579956645</x:v>
      </x:c>
      <x:c r="E31" s="48" t="n">
        <x:v>0.99</x:v>
      </x:c>
      <x:c r="F31" s="45" t="n">
        <x:f>C31*D31*E31</x:f>
        <x:v>18.769884942471236</x:v>
      </x:c>
      <x:c r="G31" s="45" t="n">
        <x:v>37.91895947973987</x:v>
      </x:c>
      <x:c r="H31" s="54" t="n">
        <x:v>1</x:v>
      </x:c>
      <x:c r="I31" s="45" t="n">
        <x:f>MAX(F31,G31)</x:f>
        <x:v>37.91895947973987</x:v>
      </x:c>
      <x:c r="J31" s="58" t="n">
        <x:f>ROUND(ROUNDUP(I31/H31,0)*H31,2)</x:f>
        <x:v>38</x:v>
      </x:c>
      <x:c r="K31" s="33"/>
      <x:c r="L31" s="33"/>
      <x:c r="M31" s="33"/>
      <x:c r="N31" s="33"/>
      <x:c r="O31" s="33"/>
    </x:row>
    <x:row r="32" ht="26" customHeight="1">
      <x:c r="A32" s="39" t="str">
        <x:v>Z030</x:v>
      </x:c>
      <x:c r="B32" s="39" t="str">
        <x:v>DZD</x:v>
      </x:c>
      <x:c r="C32" s="48" t="n">
        <x:v>0.3</x:v>
      </x:c>
      <x:c r="D32" s="51" t="n">
        <x:v>134.90078372519594</x:v>
      </x:c>
      <x:c r="E32" s="48" t="n">
        <x:v>0.99</x:v>
      </x:c>
      <x:c r="F32" s="45" t="n">
        <x:f>C32*D32*E32</x:f>
        <x:v>40.06553276638319</x:v>
      </x:c>
      <x:c r="G32" s="45" t="n">
        <x:v>80.94047023511756</x:v>
      </x:c>
      <x:c r="H32" s="54" t="n">
        <x:v>1</x:v>
      </x:c>
      <x:c r="I32" s="45" t="n">
        <x:f>MAX(F32,G32)</x:f>
        <x:v>80.94047023511756</x:v>
      </x:c>
      <x:c r="J32" s="58" t="n">
        <x:f>ROUND(ROUNDUP(I32/H32,0)*H32,2)</x:f>
        <x:v>81</x:v>
      </x:c>
      <x:c r="K32" s="33"/>
      <x:c r="L32" s="33"/>
      <x:c r="M32" s="33"/>
      <x:c r="N32" s="33"/>
      <x:c r="O32" s="33"/>
    </x:row>
    <x:row r="33" ht="26" customHeight="1">
      <x:c r="A33" s="39" t="str">
        <x:v>Z030</x:v>
      </x:c>
      <x:c r="B33" s="39" t="str">
        <x:v>MAD</x:v>
      </x:c>
      <x:c r="C33" s="48" t="n">
        <x:v>0.3</x:v>
      </x:c>
      <x:c r="D33" s="51" t="n">
        <x:v>9.83658495914624</x:v>
      </x:c>
      <x:c r="E33" s="48" t="n">
        <x:v>0.99</x:v>
      </x:c>
      <x:c r="F33" s="45" t="n">
        <x:f>C33*D33*E33</x:f>
        <x:v>2.9214657328664333</x:v>
      </x:c>
      <x:c r="G33" s="45" t="n">
        <x:v>5.901950975487744</x:v>
      </x:c>
      <x:c r="H33" s="54" t="n">
        <x:v>0.1</x:v>
      </x:c>
      <x:c r="I33" s="45" t="n">
        <x:f>MAX(F33,G33)</x:f>
        <x:v>5.901950975487744</x:v>
      </x:c>
      <x:c r="J33" s="58" t="n">
        <x:f>ROUND(ROUNDUP(I33/H33,0)*H33,2)</x:f>
        <x:v>6</x:v>
      </x:c>
      <x:c r="K33" s="33"/>
      <x:c r="L33" s="33"/>
      <x:c r="M33" s="33"/>
      <x:c r="N33" s="33"/>
      <x:c r="O33" s="33"/>
    </x:row>
    <x:row r="34" ht="26" customHeight="1">
      <x:c r="A34" s="39" t="str">
        <x:v>Z030</x:v>
      </x:c>
      <x:c r="B34" s="39" t="str">
        <x:v>NAD</x:v>
      </x:c>
      <x:c r="C34" s="48" t="n">
        <x:v>0.3</x:v>
      </x:c>
      <x:c r="D34" s="51" t="n">
        <x:v>16.506586626646655</x:v>
      </x:c>
      <x:c r="E34" s="48" t="n">
        <x:v>0.99</x:v>
      </x:c>
      <x:c r="F34" s="45" t="n">
        <x:f>C34*D34*E34</x:f>
        <x:v>4.902456228114056</x:v>
      </x:c>
      <x:c r="G34" s="45" t="n">
        <x:v>9.903951975987994</x:v>
      </x:c>
      <x:c r="H34" s="54" t="n">
        <x:v>0.1</x:v>
      </x:c>
      <x:c r="I34" s="45" t="n">
        <x:f>MAX(F34,G34)</x:f>
        <x:v>9.903951975987994</x:v>
      </x:c>
      <x:c r="J34" s="58" t="n">
        <x:f>ROUND(ROUNDUP(I34/H34,0)*H34,2)</x:f>
        <x:v>10</x:v>
      </x:c>
      <x:c r="K34" s="33"/>
      <x:c r="L34" s="33"/>
      <x:c r="M34" s="33"/>
      <x:c r="N34" s="33"/>
      <x:c r="O34" s="33"/>
    </x:row>
    <x:row r="35" ht="26" customHeight="1">
      <x:c r="A35" s="39" t="str">
        <x:v>Z030</x:v>
      </x:c>
      <x:c r="B35" s="39" t="str">
        <x:v>AZN</x:v>
      </x:c>
      <x:c r="C35" s="48" t="n">
        <x:v>0.3</x:v>
      </x:c>
      <x:c r="D35" s="51" t="n">
        <x:v>1.665832916458229</x:v>
      </x:c>
      <x:c r="E35" s="48" t="n">
        <x:v>0.99</x:v>
      </x:c>
      <x:c r="F35" s="45" t="n">
        <x:f>C35*D35*E35</x:f>
        <x:v>0.494752376188094</x:v>
      </x:c>
      <x:c r="G35" s="45" t="n">
        <x:v>0.9994997498749375</x:v>
      </x:c>
      <x:c r="H35" s="54" t="n">
        <x:v>0.01</x:v>
      </x:c>
      <x:c r="I35" s="45" t="n">
        <x:f>MAX(F35,G35)</x:f>
        <x:v>0.9994997498749375</x:v>
      </x:c>
      <x:c r="J35" s="58" t="n">
        <x:f>ROUND(ROUNDUP(I35/H35,0)*H35,2)</x:f>
        <x:v>1</x:v>
      </x:c>
      <x:c r="K35" s="33"/>
      <x:c r="L35" s="33"/>
      <x:c r="M35" s="33"/>
      <x:c r="N35" s="33"/>
      <x:c r="O35" s="33"/>
    </x:row>
    <x:row r="36" ht="26" customHeight="1">
      <x:c r="A36" s="39" t="str">
        <x:v>Z030</x:v>
      </x:c>
      <x:c r="B36" s="39" t="str">
        <x:v>THB</x:v>
      </x:c>
      <x:c r="C36" s="48" t="n">
        <x:v>0.3</x:v>
      </x:c>
      <x:c r="D36" s="51" t="n">
        <x:v>33.5</x:v>
      </x:c>
      <x:c r="E36" s="48" t="n">
        <x:v>0.99</x:v>
      </x:c>
      <x:c r="F36" s="45" t="n">
        <x:f>C36*D36*E36</x:f>
        <x:v>9.949499999999999</x:v>
      </x:c>
      <x:c r="G36" s="45" t="n">
        <x:v>20.1</x:v>
      </x:c>
      <x:c r="H36" s="54" t="n">
        <x:v>1</x:v>
      </x:c>
      <x:c r="I36" s="45" t="n">
        <x:f>MAX(F36,G36)</x:f>
        <x:v>20.1</x:v>
      </x:c>
      <x:c r="J36" s="58" t="n">
        <x:f>ROUND(ROUNDUP(I36/H36,0)*H36,2)</x:f>
        <x:v>21</x:v>
      </x:c>
      <x:c r="K36" s="33"/>
      <x:c r="L36" s="33"/>
      <x:c r="M36" s="33"/>
      <x:c r="N36" s="33"/>
      <x:c r="O36" s="33"/>
    </x:row>
    <x:row r="37" ht="26" customHeight="1">
      <x:c r="A37" s="39" t="str">
        <x:v>Z030</x:v>
      </x:c>
      <x:c r="B37" s="39" t="str">
        <x:v>HNL</x:v>
      </x:c>
      <x:c r="C37" s="48" t="n">
        <x:v>0.3</x:v>
      </x:c>
      <x:c r="D37" s="51" t="n">
        <x:v>26.513256628314156</x:v>
      </x:c>
      <x:c r="E37" s="48" t="n">
        <x:v>0.99</x:v>
      </x:c>
      <x:c r="F37" s="45" t="n">
        <x:f>C37*D37*E37</x:f>
        <x:v>7.8744372186093035</x:v>
      </x:c>
      <x:c r="G37" s="45" t="n">
        <x:v>15.907953976988495</x:v>
      </x:c>
      <x:c r="H37" s="54" t="n">
        <x:v>1</x:v>
      </x:c>
      <x:c r="I37" s="45" t="n">
        <x:f>MAX(F37,G37)</x:f>
        <x:v>15.907953976988495</x:v>
      </x:c>
      <x:c r="J37" s="58" t="n">
        <x:f>ROUND(ROUNDUP(I37/H37,0)*H37,2)</x:f>
        <x:v>16</x:v>
      </x:c>
      <x:c r="K37" s="33"/>
      <x:c r="L37" s="33"/>
      <x:c r="M37" s="33"/>
      <x:c r="N37" s="33"/>
      <x:c r="O37" s="33"/>
    </x:row>
    <x:row r="38" ht="26" customHeight="1">
      <x:c r="A38" s="39" t="str">
        <x:v>Z030</x:v>
      </x:c>
      <x:c r="B38" s="39" t="str">
        <x:v>MNT</x:v>
      </x:c>
      <x:c r="C38" s="48" t="n">
        <x:v>0.3</x:v>
      </x:c>
      <x:c r="D38" s="51" t="n">
        <x:v>3651.825912956478</x:v>
      </x:c>
      <x:c r="E38" s="48" t="n">
        <x:v>0.99</x:v>
      </x:c>
      <x:c r="F38" s="45" t="n">
        <x:f>C38*D38*E38</x:f>
        <x:v>1084.592296148074</x:v>
      </x:c>
      <x:c r="G38" s="45" t="n">
        <x:v>2191.095547773887</x:v>
      </x:c>
      <x:c r="H38" s="54" t="n">
        <x:v>100</x:v>
      </x:c>
      <x:c r="I38" s="45" t="n">
        <x:f>MAX(F38,G38)</x:f>
        <x:v>2191.095547773887</x:v>
      </x:c>
      <x:c r="J38" s="58" t="n">
        <x:f>ROUND(ROUNDUP(I38/H38,0)*H38,2)</x:f>
        <x:v>2200</x:v>
      </x:c>
      <x:c r="K38" s="33"/>
      <x:c r="L38" s="33"/>
      <x:c r="M38" s="33"/>
      <x:c r="N38" s="33"/>
      <x:c r="O38" s="33"/>
    </x:row>
    <x:row r="39" ht="26" customHeight="1">
      <x:c r="A39" s="39" t="str">
        <x:v>Z035</x:v>
      </x:c>
      <x:c r="B39" s="39" t="str">
        <x:v>MYR</x:v>
      </x:c>
      <x:c r="C39" s="48" t="n">
        <x:v>0.35</x:v>
      </x:c>
      <x:c r="D39" s="51" t="n">
        <x:v>4.143500321589366</x:v>
      </x:c>
      <x:c r="E39" s="48" t="n">
        <x:v>0.99</x:v>
      </x:c>
      <x:c r="F39" s="45" t="n">
        <x:f>C39*D39*E39</x:f>
        <x:v>1.4357228614307154</x:v>
      </x:c>
      <x:c r="G39" s="45" t="n">
        <x:v>2.4861001929536197</x:v>
      </x:c>
      <x:c r="H39" s="54" t="n">
        <x:v>0.1</x:v>
      </x:c>
      <x:c r="I39" s="45" t="n">
        <x:f>MAX(F39,G39)</x:f>
        <x:v>2.4861001929536197</x:v>
      </x:c>
      <x:c r="J39" s="58" t="n">
        <x:f>ROUND(ROUNDUP(I39/H39,0)*H39,2)</x:f>
        <x:v>2.5</x:v>
      </x:c>
      <x:c r="K39" s="33"/>
      <x:c r="L39" s="33"/>
      <x:c r="M39" s="33"/>
      <x:c r="N39" s="33"/>
      <x:c r="O39" s="33"/>
    </x:row>
    <x:row r="40" ht="26" customHeight="1">
      <x:c r="A40" s="39" t="str">
        <x:v>Z035</x:v>
      </x:c>
      <x:c r="B40" s="39" t="str">
        <x:v>COP</x:v>
      </x:c>
      <x:c r="C40" s="48" t="n">
        <x:v>0.35</x:v>
      </x:c>
      <x:c r="D40" s="51" t="n">
        <x:v>3130.1364968198386</x:v>
      </x:c>
      <x:c r="E40" s="48" t="n">
        <x:v>0.99</x:v>
      </x:c>
      <x:c r="F40" s="45" t="n">
        <x:f>C40*D40*E40</x:f>
        <x:v>1084.592296148074</x:v>
      </x:c>
      <x:c r="G40" s="45" t="n">
        <x:v>1878.081898091903</x:v>
      </x:c>
      <x:c r="H40" s="54" t="n">
        <x:v>100</x:v>
      </x:c>
      <x:c r="I40" s="45" t="n">
        <x:f>MAX(F40,G40)</x:f>
        <x:v>1878.081898091903</x:v>
      </x:c>
      <x:c r="J40" s="58" t="n">
        <x:f>ROUND(ROUNDUP(I40/H40,0)*H40,2)</x:f>
        <x:v>1900</x:v>
      </x:c>
      <x:c r="K40" s="33"/>
      <x:c r="L40" s="33"/>
      <x:c r="M40" s="33"/>
      <x:c r="N40" s="33"/>
      <x:c r="O40" s="33"/>
    </x:row>
    <x:row r="41" ht="26" customHeight="1">
      <x:c r="A41" s="39" t="str">
        <x:v>Z035</x:v>
      </x:c>
      <x:c r="B41" s="39" t="str">
        <x:v>ZAR</x:v>
      </x:c>
      <x:c r="C41" s="48" t="n">
        <x:v>0.35</x:v>
      </x:c>
      <x:c r="D41" s="51" t="n">
        <x:v>16.43536053741156</x:v>
      </x:c>
      <x:c r="E41" s="48" t="n">
        <x:v>0.99</x:v>
      </x:c>
      <x:c r="F41" s="45" t="n">
        <x:f>C41*D41*E41</x:f>
        <x:v>5.694852426213106</x:v>
      </x:c>
      <x:c r="G41" s="45" t="n">
        <x:v>9.861216322446937</x:v>
      </x:c>
      <x:c r="H41" s="54" t="n">
        <x:v>0.1</x:v>
      </x:c>
      <x:c r="I41" s="45" t="n">
        <x:f>MAX(F41,G41)</x:f>
        <x:v>9.861216322446937</x:v>
      </x:c>
      <x:c r="J41" s="58" t="n">
        <x:f>ROUND(ROUNDUP(I41/H41,0)*H41,2)</x:f>
        <x:v>9.9</x:v>
      </x:c>
      <x:c r="K41" s="33"/>
      <x:c r="L41" s="33"/>
      <x:c r="M41" s="33"/>
      <x:c r="N41" s="33"/>
      <x:c r="O41" s="33"/>
    </x:row>
    <x:row r="42" ht="26" customHeight="1">
      <x:c r="A42" s="39" t="str">
        <x:v>Z035</x:v>
      </x:c>
      <x:c r="B42" s="39" t="str">
        <x:v>USD</x:v>
      </x:c>
      <x:c r="C42" s="48" t="n">
        <x:v>0.35</x:v>
      </x:c>
      <x:c r="D42" s="51" t="n">
        <x:v>1</x:v>
      </x:c>
      <x:c r="E42" s="48" t="n">
        <x:v>0.99</x:v>
      </x:c>
      <x:c r="F42" s="45" t="n">
        <x:f>C42*D42*E42</x:f>
        <x:v>0.3465</x:v>
      </x:c>
      <x:c r="G42" s="45" t="n">
        <x:v>0.6</x:v>
      </x:c>
      <x:c r="H42" s="54" t="n">
        <x:v>0.01</x:v>
      </x:c>
      <x:c r="I42" s="45" t="n">
        <x:f>MAX(F42,G42)</x:f>
        <x:v>0.6</x:v>
      </x:c>
      <x:c r="J42" s="58" t="n">
        <x:f>ROUND(ROUNDUP(I42/H42,0)*H42,2)</x:f>
        <x:v>0.6</x:v>
      </x:c>
      <x:c r="K42" s="33"/>
      <x:c r="L42" s="33"/>
      <x:c r="M42" s="33"/>
      <x:c r="N42" s="33"/>
      <x:c r="O42" s="33"/>
    </x:row>
    <x:row r="43" ht="26" customHeight="1">
      <x:c r="A43" s="39" t="str">
        <x:v>Z035</x:v>
      </x:c>
      <x:c r="B43" s="39" t="str">
        <x:v>BWP</x:v>
      </x:c>
      <x:c r="C43" s="48" t="n">
        <x:v>0.35</x:v>
      </x:c>
      <x:c r="D43" s="51" t="n">
        <x:v>14.005574215679268</x:v>
      </x:c>
      <x:c r="E43" s="48" t="n">
        <x:v>0.99</x:v>
      </x:c>
      <x:c r="F43" s="45" t="n">
        <x:f>C43*D43*E43</x:f>
        <x:v>4.8529314657328655</x:v>
      </x:c>
      <x:c r="G43" s="45" t="n">
        <x:v>8.40334452940756</x:v>
      </x:c>
      <x:c r="H43" s="54" t="n">
        <x:v>0.1</x:v>
      </x:c>
      <x:c r="I43" s="45" t="n">
        <x:f>MAX(F43,G43)</x:f>
        <x:v>8.40334452940756</x:v>
      </x:c>
      <x:c r="J43" s="58" t="n">
        <x:f>ROUND(ROUNDUP(I43/H43,0)*H43,2)</x:f>
        <x:v>8.5</x:v>
      </x:c>
      <x:c r="K43" s="33"/>
      <x:c r="L43" s="33"/>
      <x:c r="M43" s="33"/>
      <x:c r="N43" s="33"/>
      <x:c r="O43" s="33"/>
    </x:row>
    <x:row r="44" ht="26" customHeight="1">
      <x:c r="A44" s="39" t="str">
        <x:v>Z035</x:v>
      </x:c>
      <x:c r="B44" s="39" t="str">
        <x:v>GTQ</x:v>
      </x:c>
      <x:c r="C44" s="48" t="n">
        <x:v>0.35</x:v>
      </x:c>
      <x:c r="D44" s="51" t="n">
        <x:v>7.573786893446723</x:v>
      </x:c>
      <x:c r="E44" s="48" t="n">
        <x:v>0.99</x:v>
      </x:c>
      <x:c r="F44" s="45" t="n">
        <x:f>C44*D44*E44</x:f>
        <x:v>2.6243171585792893</x:v>
      </x:c>
      <x:c r="G44" s="45" t="n">
        <x:v>4.544272136068034</x:v>
      </x:c>
      <x:c r="H44" s="54" t="n">
        <x:v>0.1</x:v>
      </x:c>
      <x:c r="I44" s="45" t="n">
        <x:f>MAX(F44,G44)</x:f>
        <x:v>4.544272136068034</x:v>
      </x:c>
      <x:c r="J44" s="58" t="n">
        <x:f>ROUND(ROUNDUP(I44/H44,0)*H44,2)</x:f>
        <x:v>4.6</x:v>
      </x:c>
      <x:c r="K44" s="33"/>
      <x:c r="L44" s="33"/>
      <x:c r="M44" s="33"/>
      <x:c r="N44" s="33"/>
      <x:c r="O44" s="33"/>
    </x:row>
    <x:row r="45" ht="26" customHeight="1">
      <x:c r="A45" s="39" t="str">
        <x:v>Z035</x:v>
      </x:c>
      <x:c r="B45" s="39" t="str">
        <x:v>XAF</x:v>
      </x:c>
      <x:c r="C45" s="48" t="n">
        <x:v>0.35</x:v>
      </x:c>
      <x:c r="D45" s="51" t="n">
        <x:v>575.0375187593797</x:v>
      </x:c>
      <x:c r="E45" s="48" t="n">
        <x:v>0.99</x:v>
      </x:c>
      <x:c r="F45" s="45" t="n">
        <x:f>C45*D45*E45</x:f>
        <x:v>199.25050025012504</x:v>
      </x:c>
      <x:c r="G45" s="45" t="n">
        <x:v>345.0225112556278</x:v>
      </x:c>
      <x:c r="H45" s="54" t="n">
        <x:v>10</x:v>
      </x:c>
      <x:c r="I45" s="45" t="n">
        <x:f>MAX(F45,G45)</x:f>
        <x:v>345.0225112556278</x:v>
      </x:c>
      <x:c r="J45" s="58" t="n">
        <x:f>ROUND(ROUNDUP(I45/H45,0)*H45,2)</x:f>
        <x:v>350</x:v>
      </x:c>
      <x:c r="K45" s="33"/>
      <x:c r="L45" s="33"/>
      <x:c r="M45" s="33"/>
      <x:c r="N45" s="33"/>
      <x:c r="O45" s="33"/>
    </x:row>
    <x:row r="46" ht="26" customHeight="1">
      <x:c r="A46" s="39" t="str">
        <x:v>Z035</x:v>
      </x:c>
      <x:c r="B46" s="39" t="str">
        <x:v>GEL</x:v>
      </x:c>
      <x:c r="C46" s="48" t="n">
        <x:v>0.35</x:v>
      </x:c>
      <x:c r="D46" s="51" t="n">
        <x:v>2.571285642821411</x:v>
      </x:c>
      <x:c r="E46" s="48" t="n">
        <x:v>0.99</x:v>
      </x:c>
      <x:c r="F46" s="45" t="n">
        <x:f>C46*D46*E46</x:f>
        <x:v>0.8909504752376188</x:v>
      </x:c>
      <x:c r="G46" s="45" t="n">
        <x:v>1.5427713856928464</x:v>
      </x:c>
      <x:c r="H46" s="54" t="n">
        <x:v>0.1</x:v>
      </x:c>
      <x:c r="I46" s="45" t="n">
        <x:f>MAX(F46,G46)</x:f>
        <x:v>1.5427713856928464</x:v>
      </x:c>
      <x:c r="J46" s="58" t="n">
        <x:f>ROUND(ROUNDUP(I46/H46,0)*H46,2)</x:f>
        <x:v>1.6</x:v>
      </x:c>
      <x:c r="K46" s="33"/>
      <x:c r="L46" s="33"/>
      <x:c r="M46" s="33"/>
      <x:c r="N46" s="33"/>
      <x:c r="O46" s="33"/>
    </x:row>
    <x:row r="47" ht="26" customHeight="1">
      <x:c r="A47" s="39" t="str">
        <x:v>Z035</x:v>
      </x:c>
      <x:c r="B47" s="39" t="str">
        <x:v>LBP</x:v>
      </x:c>
      <x:c r="C47" s="48" t="n">
        <x:v>0.35</x:v>
      </x:c>
      <x:c r="D47" s="51" t="n">
        <x:v>89902.0939040949</x:v>
      </x:c>
      <x:c r="E47" s="48" t="n">
        <x:v>0.99</x:v>
      </x:c>
      <x:c r="F47" s="45" t="n">
        <x:f>C47*D47*E47</x:f>
        <x:v>31151.07553776888</x:v>
      </x:c>
      <x:c r="G47" s="45" t="n">
        <x:v>53941.256342456945</x:v>
      </x:c>
      <x:c r="H47" s="54" t="n">
        <x:v>100</x:v>
      </x:c>
      <x:c r="I47" s="45" t="n">
        <x:f>MAX(F47,G47)</x:f>
        <x:v>53941.256342456945</x:v>
      </x:c>
      <x:c r="J47" s="58" t="n">
        <x:f>ROUND(ROUNDUP(I47/H47,0)*H47,2)</x:f>
        <x:v>54000</x:v>
      </x:c>
      <x:c r="K47" s="33"/>
      <x:c r="L47" s="33"/>
      <x:c r="M47" s="33"/>
      <x:c r="N47" s="33"/>
      <x:c r="O47" s="33"/>
    </x:row>
    <x:row r="48" ht="26" customHeight="1">
      <x:c r="A48" s="39" t="str">
        <x:v>Z035</x:v>
      </x:c>
      <x:c r="B48" s="39" t="str">
        <x:v>MDL</x:v>
      </x:c>
      <x:c r="C48" s="48" t="n">
        <x:v>0.35</x:v>
      </x:c>
      <x:c r="D48" s="51" t="n">
        <x:v>17.864646609018795</x:v>
      </x:c>
      <x:c r="E48" s="48" t="n">
        <x:v>0.99</x:v>
      </x:c>
      <x:c r="F48" s="45" t="n">
        <x:f>C48*D48*E48</x:f>
        <x:v>6.190100050025013</x:v>
      </x:c>
      <x:c r="G48" s="45" t="n">
        <x:v>10.718787965411277</x:v>
      </x:c>
      <x:c r="H48" s="54" t="n">
        <x:v>1</x:v>
      </x:c>
      <x:c r="I48" s="45" t="n">
        <x:f>MAX(F48,G48)</x:f>
        <x:v>10.718787965411277</x:v>
      </x:c>
      <x:c r="J48" s="58" t="n">
        <x:f>ROUND(ROUNDUP(I48/H48,0)*H48,2)</x:f>
        <x:v>11</x:v>
      </x:c>
      <x:c r="K48" s="33"/>
      <x:c r="L48" s="33"/>
      <x:c r="M48" s="33"/>
      <x:c r="N48" s="33"/>
      <x:c r="O48" s="33"/>
    </x:row>
    <x:row r="49" ht="26" customHeight="1">
      <x:c r="A49" s="39" t="str">
        <x:v>Z040</x:v>
      </x:c>
      <x:c r="B49" s="39" t="str">
        <x:v>BRL</x:v>
      </x:c>
      <x:c r="C49" s="48" t="n">
        <x:v>0.4</x:v>
      </x:c>
      <x:c r="D49" s="51" t="n">
        <x:v>5.12631315657829</x:v>
      </x:c>
      <x:c r="E49" s="48" t="n">
        <x:v>0.99</x:v>
      </x:c>
      <x:c r="F49" s="45" t="n">
        <x:f>C49*D49*E49</x:f>
        <x:v>2.0300200100050025</x:v>
      </x:c>
      <x:c r="G49" s="45" t="n">
        <x:v>3.0757878939469734</x:v>
      </x:c>
      <x:c r="H49" s="54" t="n">
        <x:v>0.1</x:v>
      </x:c>
      <x:c r="I49" s="45" t="n">
        <x:f>MAX(F49,G49)</x:f>
        <x:v>3.0757878939469734</x:v>
      </x:c>
      <x:c r="J49" s="58" t="n">
        <x:f>ROUND(ROUNDUP(I49/H49,0)*H49,2)</x:f>
        <x:v>3.1</x:v>
      </x:c>
      <x:c r="K49" s="33"/>
      <x:c r="L49" s="33"/>
      <x:c r="M49" s="33"/>
      <x:c r="N49" s="33"/>
      <x:c r="O49" s="33"/>
    </x:row>
    <x:row r="50" ht="26" customHeight="1">
      <x:c r="A50" s="39" t="str">
        <x:v>Z040</x:v>
      </x:c>
      <x:c r="B50" s="39" t="str">
        <x:v>ARS</x:v>
      </x:c>
      <x:c r="C50" s="48" t="n">
        <x:v>0.4</x:v>
      </x:c>
      <x:c r="D50" s="51" t="n">
        <x:v>1488.2441220610306</x:v>
      </x:c>
      <x:c r="E50" s="48" t="n">
        <x:v>0.99</x:v>
      </x:c>
      <x:c r="F50" s="45" t="n">
        <x:f>C50*D50*E50</x:f>
        <x:v>589.3446723361682</x:v>
      </x:c>
      <x:c r="G50" s="45" t="n">
        <x:v>892.9464732366183</x:v>
      </x:c>
      <x:c r="H50" s="54" t="n">
        <x:v>10</x:v>
      </x:c>
      <x:c r="I50" s="45" t="n">
        <x:f>MAX(F50,G50)</x:f>
        <x:v>892.9464732366183</x:v>
      </x:c>
      <x:c r="J50" s="58" t="n">
        <x:f>ROUND(ROUNDUP(I50/H50,0)*H50,2)</x:f>
        <x:v>900</x:v>
      </x:c>
      <x:c r="K50" s="33"/>
      <x:c r="L50" s="33"/>
      <x:c r="M50" s="33"/>
      <x:c r="N50" s="33"/>
      <x:c r="O50" s="33"/>
    </x:row>
    <x:row r="51" ht="26" customHeight="1">
      <x:c r="A51" s="39" t="str">
        <x:v>Z040</x:v>
      </x:c>
      <x:c r="B51" s="39" t="str">
        <x:v>TRY</x:v>
      </x:c>
      <x:c r="C51" s="48" t="n">
        <x:v>0.4</x:v>
      </x:c>
      <x:c r="D51" s="51" t="n">
        <x:v>49.89994997498749</x:v>
      </x:c>
      <x:c r="E51" s="48" t="n">
        <x:v>0.99</x:v>
      </x:c>
      <x:c r="F51" s="45" t="n">
        <x:f>C51*D51*E51</x:f>
        <x:v>19.76038019009505</x:v>
      </x:c>
      <x:c r="G51" s="45" t="n">
        <x:v>29.939969984992498</x:v>
      </x:c>
      <x:c r="H51" s="54" t="n">
        <x:v>1</x:v>
      </x:c>
      <x:c r="I51" s="45" t="n">
        <x:f>MAX(F51,G51)</x:f>
        <x:v>29.939969984992498</x:v>
      </x:c>
      <x:c r="J51" s="58" t="n">
        <x:f>ROUND(ROUNDUP(I51/H51,0)*H51,2)</x:f>
        <x:v>30</x:v>
      </x:c>
      <x:c r="K51" s="33"/>
      <x:c r="L51" s="33"/>
      <x:c r="M51" s="33"/>
      <x:c r="N51" s="33"/>
      <x:c r="O51" s="33"/>
    </x:row>
    <x:row r="52" ht="26" customHeight="1">
      <x:c r="A52" s="39" t="str">
        <x:v>Z040</x:v>
      </x:c>
      <x:c r="B52" s="39" t="str">
        <x:v>JMD</x:v>
      </x:c>
      <x:c r="C52" s="48" t="n">
        <x:v>0.4</x:v>
      </x:c>
      <x:c r="D52" s="51" t="n">
        <x:v>162.45622811405704</x:v>
      </x:c>
      <x:c r="E52" s="48" t="n">
        <x:v>0.99</x:v>
      </x:c>
      <x:c r="F52" s="45" t="n">
        <x:f>C52*D52*E52</x:f>
        <x:v>64.3326663331666</x:v>
      </x:c>
      <x:c r="G52" s="45" t="n">
        <x:v>97.47373686843422</x:v>
      </x:c>
      <x:c r="H52" s="54" t="n">
        <x:v>1</x:v>
      </x:c>
      <x:c r="I52" s="45" t="n">
        <x:f>MAX(F52,G52)</x:f>
        <x:v>97.47373686843422</x:v>
      </x:c>
      <x:c r="J52" s="58" t="n">
        <x:f>ROUND(ROUNDUP(I52/H52,0)*H52,2)</x:f>
        <x:v>98</x:v>
      </x:c>
      <x:c r="K52" s="33"/>
      <x:c r="L52" s="33"/>
      <x:c r="M52" s="33"/>
      <x:c r="N52" s="33"/>
      <x:c r="O52" s="33"/>
    </x:row>
    <x:row r="53" ht="26" customHeight="1">
      <x:c r="A53" s="39" t="str">
        <x:v>Z040</x:v>
      </x:c>
      <x:c r="B53" s="39" t="str">
        <x:v>PEN</x:v>
      </x:c>
      <x:c r="C53" s="48" t="n">
        <x:v>0.4</x:v>
      </x:c>
      <x:c r="D53" s="51" t="n">
        <x:v>3.3754377188594296</x:v>
      </x:c>
      <x:c r="E53" s="48" t="n">
        <x:v>0.99</x:v>
      </x:c>
      <x:c r="F53" s="45" t="n">
        <x:f>C53*D53*E53</x:f>
        <x:v>1.336673336668334</x:v>
      </x:c>
      <x:c r="G53" s="45" t="n">
        <x:v>2.0252626313156576</x:v>
      </x:c>
      <x:c r="H53" s="54" t="n">
        <x:v>0.1</x:v>
      </x:c>
      <x:c r="I53" s="45" t="n">
        <x:f>MAX(F53,G53)</x:f>
        <x:v>2.0252626313156576</x:v>
      </x:c>
      <x:c r="J53" s="58" t="n">
        <x:f>ROUND(ROUNDUP(I53/H53,0)*H53,2)</x:f>
        <x:v>2.1</x:v>
      </x:c>
      <x:c r="K53" s="33"/>
      <x:c r="L53" s="33"/>
      <x:c r="M53" s="33"/>
      <x:c r="N53" s="33"/>
      <x:c r="O53" s="33"/>
    </x:row>
    <x:row r="54" ht="26" customHeight="1">
      <x:c r="A54" s="39" t="str">
        <x:v>Z040</x:v>
      </x:c>
      <x:c r="B54" s="39" t="str">
        <x:v>BZD</x:v>
      </x:c>
      <x:c r="C54" s="48" t="n">
        <x:v>0.4</x:v>
      </x:c>
      <x:c r="D54" s="51" t="n">
        <x:v>1.9997498749374687</x:v>
      </x:c>
      <x:c r="E54" s="48" t="n">
        <x:v>0.99</x:v>
      </x:c>
      <x:c r="F54" s="45" t="n">
        <x:f>C54*D54*E54</x:f>
        <x:v>0.7919009504752376</x:v>
      </x:c>
      <x:c r="G54" s="45" t="n">
        <x:v>1.1998499249624812</x:v>
      </x:c>
      <x:c r="H54" s="54" t="n">
        <x:v>0.1</x:v>
      </x:c>
      <x:c r="I54" s="45" t="n">
        <x:f>MAX(F54,G54)</x:f>
        <x:v>1.1998499249624812</x:v>
      </x:c>
      <x:c r="J54" s="58" t="n">
        <x:f>ROUND(ROUNDUP(I54/H54,0)*H54,2)</x:f>
        <x:v>1.2</x:v>
      </x:c>
      <x:c r="K54" s="33"/>
      <x:c r="L54" s="33"/>
      <x:c r="M54" s="33"/>
      <x:c r="N54" s="33"/>
      <x:c r="O54" s="33"/>
    </x:row>
    <x:row r="55" ht="26" customHeight="1">
      <x:c r="A55" s="39" t="str">
        <x:v>Z040</x:v>
      </x:c>
      <x:c r="B55" s="39" t="str">
        <x:v>ALL</x:v>
      </x:c>
      <x:c r="C55" s="48" t="n">
        <x:v>0.4</x:v>
      </x:c>
      <x:c r="D55" s="51" t="n">
        <x:v>81.16558279139569</x:v>
      </x:c>
      <x:c r="E55" s="48" t="n">
        <x:v>0.99</x:v>
      </x:c>
      <x:c r="F55" s="45" t="n">
        <x:f>C55*D55*E55</x:f>
        <x:v>32.141570785392695</x:v>
      </x:c>
      <x:c r="G55" s="45" t="n">
        <x:v>48.69934967483742</x:v>
      </x:c>
      <x:c r="H55" s="54" t="n">
        <x:v>1</x:v>
      </x:c>
      <x:c r="I55" s="45" t="n">
        <x:f>MAX(F55,G55)</x:f>
        <x:v>48.69934967483742</x:v>
      </x:c>
      <x:c r="J55" s="58" t="n">
        <x:f>ROUND(ROUNDUP(I55/H55,0)*H55,2)</x:f>
        <x:v>49</x:v>
      </x:c>
      <x:c r="K55" s="33"/>
      <x:c r="L55" s="33"/>
      <x:c r="M55" s="33"/>
      <x:c r="N55" s="33"/>
      <x:c r="O55" s="33"/>
    </x:row>
    <x:row r="56" ht="26" customHeight="1">
      <x:c r="A56" s="39" t="str">
        <x:v>Z040</x:v>
      </x:c>
      <x:c r="B56" s="39" t="str">
        <x:v>KZT</x:v>
      </x:c>
      <x:c r="C56" s="48" t="n">
        <x:v>0.4</x:v>
      </x:c>
      <x:c r="D56" s="51" t="n">
        <x:v>450.1000500250125</x:v>
      </x:c>
      <x:c r="E56" s="48" t="n">
        <x:v>0.99</x:v>
      </x:c>
      <x:c r="F56" s="45" t="n">
        <x:f>C56*D56*E56</x:f>
        <x:v>178.23961980990495</x:v>
      </x:c>
      <x:c r="G56" s="45" t="n">
        <x:v>270.0600300150075</x:v>
      </x:c>
      <x:c r="H56" s="54" t="n">
        <x:v>10</x:v>
      </x:c>
      <x:c r="I56" s="45" t="n">
        <x:f>MAX(F56,G56)</x:f>
        <x:v>270.0600300150075</x:v>
      </x:c>
      <x:c r="J56" s="58" t="n">
        <x:f>ROUND(ROUNDUP(I56/H56,0)*H56,2)</x:f>
        <x:v>280</x:v>
      </x:c>
      <x:c r="K56" s="33"/>
      <x:c r="L56" s="33"/>
      <x:c r="M56" s="33"/>
      <x:c r="N56" s="33"/>
      <x:c r="O56" s="33"/>
    </x:row>
    <x:row r="57" ht="26" customHeight="1">
      <x:c r="A57" s="39" t="str">
        <x:v>Z040</x:v>
      </x:c>
      <x:c r="B57" s="39" t="str">
        <x:v>EUR</x:v>
      </x:c>
      <x:c r="C57" s="48" t="n">
        <x:v>0.4</x:v>
      </x:c>
      <x:c r="D57" s="51" t="n">
        <x:v>0.8748124062031015</x:v>
      </x:c>
      <x:c r="E57" s="48" t="n">
        <x:v>0.99</x:v>
      </x:c>
      <x:c r="F57" s="45" t="n">
        <x:f>C57*D57*E57</x:f>
        <x:v>0.3464257128564282</x:v>
      </x:c>
      <x:c r="G57" s="45" t="n">
        <x:v>0.5248874437218609</x:v>
      </x:c>
      <x:c r="H57" s="54" t="n">
        <x:v>0.01</x:v>
      </x:c>
      <x:c r="I57" s="45" t="n">
        <x:f>MAX(F57,G57)</x:f>
        <x:v>0.5248874437218609</x:v>
      </x:c>
      <x:c r="J57" s="58" t="n">
        <x:f>ROUND(ROUNDUP(I57/H57,0)*H57,2)</x:f>
        <x:v>0.53</x:v>
      </x:c>
      <x:c r="K57" s="33"/>
      <x:c r="L57" s="33"/>
      <x:c r="M57" s="33"/>
      <x:c r="N57" s="33"/>
      <x:c r="O57" s="33"/>
    </x:row>
    <x:row r="58" ht="26" customHeight="1">
      <x:c r="A58" s="39" t="str">
        <x:v>Z040</x:v>
      </x:c>
      <x:c r="B58" s="39" t="str">
        <x:v>PGK</x:v>
      </x:c>
      <x:c r="C58" s="48" t="n">
        <x:v>0.4</x:v>
      </x:c>
      <x:c r="D58" s="51" t="n">
        <x:v>4.501000500250125</x:v>
      </x:c>
      <x:c r="E58" s="48" t="n">
        <x:v>0.99</x:v>
      </x:c>
      <x:c r="F58" s="45" t="n">
        <x:f>C58*D58*E58</x:f>
        <x:v>1.7823961980990495</x:v>
      </x:c>
      <x:c r="G58" s="45" t="n">
        <x:v>2.700600300150075</x:v>
      </x:c>
      <x:c r="H58" s="54" t="n">
        <x:v>0.1</x:v>
      </x:c>
      <x:c r="I58" s="45" t="n">
        <x:f>MAX(F58,G58)</x:f>
        <x:v>2.700600300150075</x:v>
      </x:c>
      <x:c r="J58" s="58" t="n">
        <x:f>ROUND(ROUNDUP(I58/H58,0)*H58,2)</x:f>
        <x:v>2.8</x:v>
      </x:c>
      <x:c r="K58" s="33"/>
      <x:c r="L58" s="33"/>
      <x:c r="M58" s="33"/>
      <x:c r="N58" s="33"/>
      <x:c r="O58" s="33"/>
    </x:row>
    <x:row r="59" ht="26" customHeight="1">
      <x:c r="A59" s="39" t="str">
        <x:v>Z040</x:v>
      </x:c>
      <x:c r="B59" s="39" t="str">
        <x:v>RSD</x:v>
      </x:c>
      <x:c r="C59" s="48" t="n">
        <x:v>0.4</x:v>
      </x:c>
      <x:c r="D59" s="51" t="n">
        <x:v>104.92746373186593</x:v>
      </x:c>
      <x:c r="E59" s="48" t="n">
        <x:v>0.99</x:v>
      </x:c>
      <x:c r="F59" s="45" t="n">
        <x:f>C59*D59*E59</x:f>
        <x:v>41.55127563781891</x:v>
      </x:c>
      <x:c r="G59" s="45" t="n">
        <x:v>62.95647823911956</x:v>
      </x:c>
      <x:c r="H59" s="54" t="n">
        <x:v>1</x:v>
      </x:c>
      <x:c r="I59" s="45" t="n">
        <x:f>MAX(F59,G59)</x:f>
        <x:v>62.95647823911956</x:v>
      </x:c>
      <x:c r="J59" s="58" t="n">
        <x:f>ROUND(ROUNDUP(I59/H59,0)*H59,2)</x:f>
        <x:v>63</x:v>
      </x:c>
      <x:c r="K59" s="33"/>
      <x:c r="L59" s="33"/>
      <x:c r="M59" s="33"/>
      <x:c r="N59" s="33"/>
      <x:c r="O59" s="33"/>
    </x:row>
    <x:row r="60" ht="26" customHeight="1">
      <x:c r="A60" s="39" t="str">
        <x:v>Z045</x:v>
      </x:c>
      <x:c r="B60" s="39" t="str">
        <x:v>MXN</x:v>
      </x:c>
      <x:c r="C60" s="48" t="n">
        <x:v>0.45</x:v>
      </x:c>
      <x:c r="D60" s="51" t="n">
        <x:v>18.452559613139904</x:v>
      </x:c>
      <x:c r="E60" s="48" t="n">
        <x:v>0.99</x:v>
      </x:c>
      <x:c r="F60" s="45" t="n">
        <x:f>C60*D60*E60</x:f>
        <x:v>8.220615307653828</x:v>
      </x:c>
      <x:c r="G60" s="45" t="n">
        <x:v>11.071535767883942</x:v>
      </x:c>
      <x:c r="H60" s="54" t="n">
        <x:v>1</x:v>
      </x:c>
      <x:c r="I60" s="45" t="n">
        <x:f>MAX(F60,G60)</x:f>
        <x:v>11.071535767883942</x:v>
      </x:c>
      <x:c r="J60" s="58" t="n">
        <x:f>ROUND(ROUNDUP(I60/H60,0)*H60,2)</x:f>
        <x:v>12</x:v>
      </x:c>
      <x:c r="K60" s="33"/>
      <x:c r="L60" s="33"/>
      <x:c r="M60" s="33"/>
      <x:c r="N60" s="33"/>
      <x:c r="O60" s="33"/>
    </x:row>
    <x:row r="61" ht="26" customHeight="1">
      <x:c r="A61" s="39" t="str">
        <x:v>Z045</x:v>
      </x:c>
      <x:c r="B61" s="39" t="str">
        <x:v>CNY</x:v>
      </x:c>
      <x:c r="C61" s="48" t="n">
        <x:v>0.45</x:v>
      </x:c>
      <x:c r="D61" s="51" t="n">
        <x:v>6.668890000555834</x:v>
      </x:c>
      <x:c r="E61" s="48" t="n">
        <x:v>0.99</x:v>
      </x:c>
      <x:c r="F61" s="45" t="n">
        <x:f>C61*D61*E61</x:f>
        <x:v>2.970990495247624</x:v>
      </x:c>
      <x:c r="G61" s="45" t="n">
        <x:v>4.0013340003335</x:v>
      </x:c>
      <x:c r="H61" s="54" t="n">
        <x:v>0.1</x:v>
      </x:c>
      <x:c r="I61" s="45" t="n">
        <x:f>MAX(F61,G61)</x:f>
        <x:v>4.0013340003335</x:v>
      </x:c>
      <x:c r="J61" s="58" t="n">
        <x:f>ROUND(ROUNDUP(I61/H61,0)*H61,2)</x:f>
        <x:v>4.1</x:v>
      </x:c>
      <x:c r="K61" s="33"/>
      <x:c r="L61" s="33"/>
      <x:c r="M61" s="33"/>
      <x:c r="N61" s="33"/>
      <x:c r="O61" s="33"/>
    </x:row>
    <x:row r="62" ht="26" customHeight="1">
      <x:c r="A62" s="39" t="str">
        <x:v>Z045</x:v>
      </x:c>
      <x:c r="B62" s="39" t="str">
        <x:v>RON</x:v>
      </x:c>
      <x:c r="C62" s="48" t="n">
        <x:v>0.45</x:v>
      </x:c>
      <x:c r="D62" s="51" t="n">
        <x:v>4.779056194764049</x:v>
      </x:c>
      <x:c r="E62" s="48" t="n">
        <x:v>0.99</x:v>
      </x:c>
      <x:c r="F62" s="45" t="n">
        <x:f>C62*D62*E62</x:f>
        <x:v>2.1290695347673836</x:v>
      </x:c>
      <x:c r="G62" s="45" t="n">
        <x:v>2.867433716858429</x:v>
      </x:c>
      <x:c r="H62" s="54" t="n">
        <x:v>0.1</x:v>
      </x:c>
      <x:c r="I62" s="45" t="n">
        <x:f>MAX(F62,G62)</x:f>
        <x:v>2.867433716858429</x:v>
      </x:c>
      <x:c r="J62" s="58" t="n">
        <x:f>ROUND(ROUNDUP(I62/H62,0)*H62,2)</x:f>
        <x:v>2.9</x:v>
      </x:c>
      <x:c r="K62" s="33"/>
      <x:c r="L62" s="33"/>
      <x:c r="M62" s="33"/>
      <x:c r="N62" s="33"/>
      <x:c r="O62" s="33"/>
    </x:row>
    <x:row r="63" ht="26" customHeight="1">
      <x:c r="A63" s="39" t="str">
        <x:v>Z045</x:v>
      </x:c>
      <x:c r="B63" s="39" t="str">
        <x:v>XCD</x:v>
      </x:c>
      <x:c r="C63" s="48" t="n">
        <x:v>0.45</x:v>
      </x:c>
      <x:c r="D63" s="51" t="n">
        <x:v>2.6668890000555834</x:v>
      </x:c>
      <x:c r="E63" s="48" t="n">
        <x:v>0.99</x:v>
      </x:c>
      <x:c r="F63" s="45" t="n">
        <x:f>C63*D63*E63</x:f>
        <x:v>1.1880990495247623</x:v>
      </x:c>
      <x:c r="G63" s="45" t="n">
        <x:v>1.60013340003335</x:v>
      </x:c>
      <x:c r="H63" s="54" t="n">
        <x:v>0.1</x:v>
      </x:c>
      <x:c r="I63" s="45" t="n">
        <x:f>MAX(F63,G63)</x:f>
        <x:v>1.60013340003335</x:v>
      </x:c>
      <x:c r="J63" s="58" t="n">
        <x:f>ROUND(ROUNDUP(I63/H63,0)*H63,2)</x:f>
        <x:v>1.7</x:v>
      </x:c>
      <x:c r="K63" s="33"/>
      <x:c r="L63" s="33"/>
      <x:c r="M63" s="33"/>
      <x:c r="N63" s="33"/>
      <x:c r="O63" s="33"/>
    </x:row>
    <x:row r="64" ht="26" customHeight="1">
      <x:c r="A64" s="39" t="str">
        <x:v>Z045</x:v>
      </x:c>
      <x:c r="B64" s="39" t="str">
        <x:v>CLP</x:v>
      </x:c>
      <x:c r="C64" s="48" t="n">
        <x:v>0.45</x:v>
      </x:c>
      <x:c r="D64" s="51" t="n">
        <x:v>978.1557445389361</x:v>
      </x:c>
      <x:c r="E64" s="48" t="n">
        <x:v>0.99</x:v>
      </x:c>
      <x:c r="F64" s="45" t="n">
        <x:f>C64*D64*E64</x:f>
        <x:v>435.768384192096</x:v>
      </x:c>
      <x:c r="G64" s="45" t="n">
        <x:v>586.8934467233616</x:v>
      </x:c>
      <x:c r="H64" s="54" t="n">
        <x:v>10</x:v>
      </x:c>
      <x:c r="I64" s="45" t="n">
        <x:f>MAX(F64,G64)</x:f>
        <x:v>586.8934467233616</x:v>
      </x:c>
      <x:c r="J64" s="58" t="n">
        <x:f>ROUND(ROUNDUP(I64/H64,0)*H64,2)</x:f>
        <x:v>590</x:v>
      </x:c>
      <x:c r="K64" s="33"/>
      <x:c r="L64" s="33"/>
      <x:c r="M64" s="33"/>
      <x:c r="N64" s="33"/>
      <x:c r="O64" s="33"/>
    </x:row>
    <x:row r="65" ht="26" customHeight="1">
      <x:c r="A65" s="39" t="str">
        <x:v>Z045</x:v>
      </x:c>
      <x:c r="B65" s="39" t="str">
        <x:v>MVR</x:v>
      </x:c>
      <x:c r="C65" s="48" t="n">
        <x:v>0.45</x:v>
      </x:c>
      <x:c r="D65" s="51" t="n">
        <x:v>15.451058862764716</x:v>
      </x:c>
      <x:c r="E65" s="48" t="n">
        <x:v>0.99</x:v>
      </x:c>
      <x:c r="F65" s="45" t="n">
        <x:f>C65*D65*E65</x:f>
        <x:v>6.883446723361681</x:v>
      </x:c>
      <x:c r="G65" s="45" t="n">
        <x:v>9.27063531765883</x:v>
      </x:c>
      <x:c r="H65" s="54" t="n">
        <x:v>0.1</x:v>
      </x:c>
      <x:c r="I65" s="45" t="n">
        <x:f>MAX(F65,G65)</x:f>
        <x:v>9.27063531765883</x:v>
      </x:c>
      <x:c r="J65" s="58" t="n">
        <x:f>ROUND(ROUNDUP(I65/H65,0)*H65,2)</x:f>
        <x:v>9.3</x:v>
      </x:c>
      <x:c r="K65" s="33"/>
      <x:c r="L65" s="33"/>
      <x:c r="M65" s="33"/>
      <x:c r="N65" s="33"/>
      <x:c r="O65" s="33"/>
    </x:row>
    <x:row r="66" ht="26" customHeight="1">
      <x:c r="A66" s="39" t="str">
        <x:v>Z050</x:v>
      </x:c>
      <x:c r="B66" s="39" t="str">
        <x:v>USD</x:v>
      </x:c>
      <x:c r="C66" s="48" t="n">
        <x:v>0.5</x:v>
      </x:c>
      <x:c r="D66" s="51" t="n">
        <x:v>1</x:v>
      </x:c>
      <x:c r="E66" s="48" t="n">
        <x:v>0.99</x:v>
      </x:c>
      <x:c r="F66" s="45" t="n">
        <x:f>C66*D66*E66</x:f>
        <x:v>0.495</x:v>
      </x:c>
      <x:c r="G66" s="45" t="n">
        <x:v>0.6</x:v>
      </x:c>
      <x:c r="H66" s="54" t="n">
        <x:v>0.01</x:v>
      </x:c>
      <x:c r="I66" s="45" t="n">
        <x:f>MAX(F66,G66)</x:f>
        <x:v>0.6</x:v>
      </x:c>
      <x:c r="J66" s="58" t="n">
        <x:f>ROUND(ROUNDUP(I66/H66,0)*H66,2)</x:f>
        <x:v>0.6</x:v>
      </x:c>
      <x:c r="K66" s="33"/>
      <x:c r="L66" s="33"/>
      <x:c r="M66" s="33"/>
      <x:c r="N66" s="33"/>
      <x:c r="O66" s="33"/>
    </x:row>
    <x:row r="67" ht="26" customHeight="1">
      <x:c r="A67" s="39" t="str">
        <x:v>Z050</x:v>
      </x:c>
      <x:c r="B67" s="39" t="str">
        <x:v>CRC</x:v>
      </x:c>
      <x:c r="C67" s="48" t="n">
        <x:v>0.5</x:v>
      </x:c>
      <x:c r="D67" s="51" t="n">
        <x:v>460.13006503251626</x:v>
      </x:c>
      <x:c r="E67" s="48" t="n">
        <x:v>0.99</x:v>
      </x:c>
      <x:c r="F67" s="45" t="n">
        <x:f>C67*D67*E67</x:f>
        <x:v>227.76438219109554</x:v>
      </x:c>
      <x:c r="G67" s="45" t="n">
        <x:v>276.07803901950973</x:v>
      </x:c>
      <x:c r="H67" s="54" t="n">
        <x:v>10</x:v>
      </x:c>
      <x:c r="I67" s="45" t="n">
        <x:f>MAX(F67,G67)</x:f>
        <x:v>276.07803901950973</x:v>
      </x:c>
      <x:c r="J67" s="58" t="n">
        <x:f>ROUND(ROUNDUP(I67/H67,0)*H67,2)</x:f>
        <x:v>280</x:v>
      </x:c>
      <x:c r="K67" s="33"/>
      <x:c r="L67" s="33"/>
      <x:c r="M67" s="33"/>
      <x:c r="N67" s="33"/>
      <x:c r="O67" s="33"/>
    </x:row>
    <x:row r="68" ht="26" customHeight="1">
      <x:c r="A68" s="39" t="str">
        <x:v>Z050</x:v>
      </x:c>
      <x:c r="B68" s="39" t="str">
        <x:v>EUR</x:v>
      </x:c>
      <x:c r="C68" s="48" t="n">
        <x:v>0.5</x:v>
      </x:c>
      <x:c r="D68" s="51" t="n">
        <x:v>0.8748124062031015</x:v>
      </x:c>
      <x:c r="E68" s="48" t="n">
        <x:v>0.99</x:v>
      </x:c>
      <x:c r="F68" s="45" t="n">
        <x:f>C68*D68*E68</x:f>
        <x:v>0.4330321410705352</x:v>
      </x:c>
      <x:c r="G68" s="45" t="n">
        <x:v>0.5248874437218609</x:v>
      </x:c>
      <x:c r="H68" s="54" t="n">
        <x:v>0.01</x:v>
      </x:c>
      <x:c r="I68" s="45" t="n">
        <x:f>MAX(F68,G68)</x:f>
        <x:v>0.5248874437218609</x:v>
      </x:c>
      <x:c r="J68" s="58" t="n">
        <x:f>ROUND(ROUNDUP(I68/H68,0)*H68,2)</x:f>
        <x:v>0.53</x:v>
      </x:c>
      <x:c r="K68" s="33"/>
      <x:c r="L68" s="33"/>
      <x:c r="M68" s="33"/>
      <x:c r="N68" s="33"/>
      <x:c r="O68" s="33"/>
    </x:row>
    <x:row r="69" ht="26" customHeight="1">
      <x:c r="A69" s="39" t="str">
        <x:v>Z050</x:v>
      </x:c>
      <x:c r="B69" s="39" t="str">
        <x:v>HUF</x:v>
      </x:c>
      <x:c r="C69" s="48" t="n">
        <x:v>0.5</x:v>
      </x:c>
      <x:c r="D69" s="51" t="n">
        <x:v>320.0600300150075</x:v>
      </x:c>
      <x:c r="E69" s="48" t="n">
        <x:v>0.99</x:v>
      </x:c>
      <x:c r="F69" s="45" t="n">
        <x:f>C69*D69*E69</x:f>
        <x:v>158.4297148574287</x:v>
      </x:c>
      <x:c r="G69" s="45" t="n">
        <x:v>192.0360180090045</x:v>
      </x:c>
      <x:c r="H69" s="54" t="n">
        <x:v>10</x:v>
      </x:c>
      <x:c r="I69" s="45" t="n">
        <x:f>MAX(F69,G69)</x:f>
        <x:v>192.0360180090045</x:v>
      </x:c>
      <x:c r="J69" s="58" t="n">
        <x:f>ROUND(ROUNDUP(I69/H69,0)*H69,2)</x:f>
        <x:v>200</x:v>
      </x:c>
      <x:c r="K69" s="33"/>
      <x:c r="L69" s="33"/>
      <x:c r="M69" s="33"/>
      <x:c r="N69" s="33"/>
      <x:c r="O69" s="33"/>
    </x:row>
    <x:row r="70" ht="26" customHeight="1">
      <x:c r="A70" s="39" t="str">
        <x:v>Z050</x:v>
      </x:c>
      <x:c r="B70" s="39" t="str">
        <x:v>PLN</x:v>
      </x:c>
      <x:c r="C70" s="48" t="n">
        <x:v>0.5</x:v>
      </x:c>
      <x:c r="D70" s="51" t="n">
        <x:v>3.900950475237619</x:v>
      </x:c>
      <x:c r="E70" s="48" t="n">
        <x:v>0.99</x:v>
      </x:c>
      <x:c r="F70" s="45" t="n">
        <x:f>C70*D70*E70</x:f>
        <x:v>1.9309704852426213</x:v>
      </x:c>
      <x:c r="G70" s="45" t="n">
        <x:v>2.3405702851425714</x:v>
      </x:c>
      <x:c r="H70" s="54" t="n">
        <x:v>0.1</x:v>
      </x:c>
      <x:c r="I70" s="45" t="n">
        <x:f>MAX(F70,G70)</x:f>
        <x:v>2.3405702851425714</x:v>
      </x:c>
      <x:c r="J70" s="58" t="n">
        <x:f>ROUND(ROUNDUP(I70/H70,0)*H70,2)</x:f>
        <x:v>2.4</x:v>
      </x:c>
      <x:c r="K70" s="33"/>
      <x:c r="L70" s="33"/>
      <x:c r="M70" s="33"/>
      <x:c r="N70" s="33"/>
      <x:c r="O70" s="33"/>
    </x:row>
    <x:row r="71" ht="26" customHeight="1">
      <x:c r="A71" s="39" t="str">
        <x:v>Z050</x:v>
      </x:c>
      <x:c r="B71" s="39" t="str">
        <x:v>SCR</x:v>
      </x:c>
      <x:c r="C71" s="48" t="n">
        <x:v>0.5</x:v>
      </x:c>
      <x:c r="D71" s="51" t="n">
        <x:v>14.606303151575787</x:v>
      </x:c>
      <x:c r="E71" s="48" t="n">
        <x:v>0.99</x:v>
      </x:c>
      <x:c r="F71" s="45" t="n">
        <x:f>C71*D71*E71</x:f>
        <x:v>7.230120060030014</x:v>
      </x:c>
      <x:c r="G71" s="45" t="n">
        <x:v>8.763781890945472</x:v>
      </x:c>
      <x:c r="H71" s="54" t="n">
        <x:v>0.1</x:v>
      </x:c>
      <x:c r="I71" s="45" t="n">
        <x:f>MAX(F71,G71)</x:f>
        <x:v>8.763781890945472</x:v>
      </x:c>
      <x:c r="J71" s="58" t="n">
        <x:f>ROUND(ROUNDUP(I71/H71,0)*H71,2)</x:f>
        <x:v>8.8</x:v>
      </x:c>
      <x:c r="K71" s="33"/>
      <x:c r="L71" s="33"/>
      <x:c r="M71" s="33"/>
      <x:c r="N71" s="33"/>
      <x:c r="O71" s="33"/>
    </x:row>
    <x:row r="72" ht="26" customHeight="1">
      <x:c r="A72" s="39" t="str">
        <x:v>Z050</x:v>
      </x:c>
      <x:c r="B72" s="39" t="str">
        <x:v>TTD</x:v>
      </x:c>
      <x:c r="C72" s="48" t="n">
        <x:v>0.5</x:v>
      </x:c>
      <x:c r="D72" s="51" t="n">
        <x:v>6.8024012006003005</x:v>
      </x:c>
      <x:c r="E72" s="48" t="n">
        <x:v>0.99</x:v>
      </x:c>
      <x:c r="F72" s="45" t="n">
        <x:f>C72*D72*E72</x:f>
        <x:v>3.367188594297149</x:v>
      </x:c>
      <x:c r="G72" s="45" t="n">
        <x:v>4.08144072036018</x:v>
      </x:c>
      <x:c r="H72" s="54" t="n">
        <x:v>0.1</x:v>
      </x:c>
      <x:c r="I72" s="45" t="n">
        <x:f>MAX(F72,G72)</x:f>
        <x:v>4.08144072036018</x:v>
      </x:c>
      <x:c r="J72" s="58" t="n">
        <x:f>ROUND(ROUNDUP(I72/H72,0)*H72,2)</x:f>
        <x:v>4.1</x:v>
      </x:c>
      <x:c r="K72" s="33"/>
      <x:c r="L72" s="33"/>
      <x:c r="M72" s="33"/>
      <x:c r="N72" s="33"/>
      <x:c r="O72" s="33"/>
    </x:row>
    <x:row r="73" ht="26" customHeight="1">
      <x:c r="A73" s="39" t="str">
        <x:v>Z055</x:v>
      </x:c>
      <x:c r="B73" s="39" t="str">
        <x:v>GYD</x:v>
      </x:c>
      <x:c r="C73" s="48" t="n">
        <x:v>0.55</x:v>
      </x:c>
      <x:c r="D73" s="51" t="n">
        <x:v>209.10455227613807</x:v>
      </x:c>
      <x:c r="E73" s="48" t="n">
        <x:v>0.99</x:v>
      </x:c>
      <x:c r="F73" s="45" t="n">
        <x:f>C73*D73*E73</x:f>
        <x:v>113.85742871435718</x:v>
      </x:c>
      <x:c r="G73" s="45" t="n">
        <x:v>125.46273136568284</x:v>
      </x:c>
      <x:c r="H73" s="54" t="n">
        <x:v>10</x:v>
      </x:c>
      <x:c r="I73" s="45" t="n">
        <x:f>MAX(F73,G73)</x:f>
        <x:v>125.46273136568284</x:v>
      </x:c>
      <x:c r="J73" s="58" t="n">
        <x:f>ROUND(ROUNDUP(I73/H73,0)*H73,2)</x:f>
        <x:v>130</x:v>
      </x:c>
      <x:c r="K73" s="33"/>
      <x:c r="L73" s="33"/>
      <x:c r="M73" s="33"/>
      <x:c r="N73" s="33"/>
      <x:c r="O73" s="33"/>
    </x:row>
    <x:row r="74" ht="26" customHeight="1">
      <x:c r="A74" s="39" t="str">
        <x:v>Z055</x:v>
      </x:c>
      <x:c r="B74" s="39" t="str">
        <x:v>EUR</x:v>
      </x:c>
      <x:c r="C74" s="48" t="n">
        <x:v>0.55</x:v>
      </x:c>
      <x:c r="D74" s="51" t="n">
        <x:v>0.8748124062031015</x:v>
      </x:c>
      <x:c r="E74" s="48" t="n">
        <x:v>0.99</x:v>
      </x:c>
      <x:c r="F74" s="45" t="n">
        <x:f>C74*D74*E74</x:f>
        <x:v>0.47633535517758885</x:v>
      </x:c>
      <x:c r="G74" s="45" t="n">
        <x:v>0.5248874437218609</x:v>
      </x:c>
      <x:c r="H74" s="54" t="n">
        <x:v>0.01</x:v>
      </x:c>
      <x:c r="I74" s="45" t="n">
        <x:f>MAX(F74,G74)</x:f>
        <x:v>0.5248874437218609</x:v>
      </x:c>
      <x:c r="J74" s="58" t="n">
        <x:f>ROUND(ROUNDUP(I74/H74,0)*H74,2)</x:f>
        <x:v>0.53</x:v>
      </x:c>
      <x:c r="K74" s="33"/>
      <x:c r="L74" s="33"/>
      <x:c r="M74" s="33"/>
      <x:c r="N74" s="33"/>
      <x:c r="O74" s="33"/>
    </x:row>
    <x:row r="75" ht="26" customHeight="1">
      <x:c r="A75" s="39" t="str">
        <x:v>Z055</x:v>
      </x:c>
      <x:c r="B75" s="39" t="str">
        <x:v>BBD</x:v>
      </x:c>
      <x:c r="C75" s="48" t="n">
        <x:v>0.55</x:v>
      </x:c>
      <x:c r="D75" s="51" t="n">
        <x:v>2.000090954568193</x:v>
      </x:c>
      <x:c r="E75" s="48" t="n">
        <x:v>0.99</x:v>
      </x:c>
      <x:c r="F75" s="45" t="n">
        <x:f>C75*D75*E75</x:f>
        <x:v>1.0890495247623813</x:v>
      </x:c>
      <x:c r="G75" s="45" t="n">
        <x:v>1.200054572740916</x:v>
      </x:c>
      <x:c r="H75" s="54" t="n">
        <x:v>0.1</x:v>
      </x:c>
      <x:c r="I75" s="45" t="n">
        <x:f>MAX(F75,G75)</x:f>
        <x:v>1.200054572740916</x:v>
      </x:c>
      <x:c r="J75" s="58" t="n">
        <x:f>ROUND(ROUNDUP(I75/H75,0)*H75,2)</x:f>
        <x:v>1.3</x:v>
      </x:c>
      <x:c r="K75" s="33"/>
      <x:c r="L75" s="33"/>
      <x:c r="M75" s="33"/>
      <x:c r="N75" s="33"/>
      <x:c r="O75" s="33"/>
    </x:row>
    <x:row r="76" ht="26" customHeight="1">
      <x:c r="A76" s="39" t="str">
        <x:v>Z055</x:v>
      </x:c>
      <x:c r="B76" s="39" t="str">
        <x:v>BND</x:v>
      </x:c>
      <x:c r="C76" s="48" t="n">
        <x:v>0.55</x:v>
      </x:c>
      <x:c r="D76" s="51" t="n">
        <x:v>1.2724544090226932</x:v>
      </x:c>
      <x:c r="E76" s="48" t="n">
        <x:v>0.99</x:v>
      </x:c>
      <x:c r="F76" s="45" t="n">
        <x:f>C76*D76*E76</x:f>
        <x:v>0.6928514257128565</x:v>
      </x:c>
      <x:c r="G76" s="45" t="n">
        <x:v>0.7634726454136159</x:v>
      </x:c>
      <x:c r="H76" s="54" t="n">
        <x:v>0.01</x:v>
      </x:c>
      <x:c r="I76" s="45" t="n">
        <x:f>MAX(F76,G76)</x:f>
        <x:v>0.7634726454136159</x:v>
      </x:c>
      <x:c r="J76" s="58" t="n">
        <x:f>ROUND(ROUNDUP(I76/H76,0)*H76,2)</x:f>
        <x:v>0.77</x:v>
      </x:c>
      <x:c r="K76" s="33"/>
      <x:c r="L76" s="33"/>
      <x:c r="M76" s="33"/>
      <x:c r="N76" s="33"/>
      <x:c r="O76" s="33"/>
    </x:row>
    <x:row r="77" ht="26" customHeight="1">
      <x:c r="A77" s="39" t="str">
        <x:v>Z055</x:v>
      </x:c>
      <x:c r="B77" s="39" t="str">
        <x:v>USD</x:v>
      </x:c>
      <x:c r="C77" s="48" t="n">
        <x:v>0.55</x:v>
      </x:c>
      <x:c r="D77" s="51" t="n">
        <x:v>1</x:v>
      </x:c>
      <x:c r="E77" s="48" t="n">
        <x:v>0.99</x:v>
      </x:c>
      <x:c r="F77" s="45" t="n">
        <x:f>C77*D77*E77</x:f>
        <x:v>0.5445</x:v>
      </x:c>
      <x:c r="G77" s="45" t="n">
        <x:v>0.6</x:v>
      </x:c>
      <x:c r="H77" s="54" t="n">
        <x:v>0.01</x:v>
      </x:c>
      <x:c r="I77" s="45" t="n">
        <x:f>MAX(F77,G77)</x:f>
        <x:v>0.6</x:v>
      </x:c>
      <x:c r="J77" s="58" t="n">
        <x:f>ROUND(ROUNDUP(I77/H77,0)*H77,2)</x:f>
        <x:v>0.6</x:v>
      </x:c>
      <x:c r="K77" s="33"/>
      <x:c r="L77" s="33"/>
      <x:c r="M77" s="33"/>
      <x:c r="N77" s="33"/>
      <x:c r="O77" s="33"/>
    </x:row>
    <x:row r="78" ht="26" customHeight="1">
      <x:c r="A78" s="39" t="str">
        <x:v>Z060</x:v>
      </x:c>
      <x:c r="B78" s="39" t="str">
        <x:v>EUR</x:v>
      </x:c>
      <x:c r="C78" s="48" t="n">
        <x:v>0.6</x:v>
      </x:c>
      <x:c r="D78" s="51" t="n">
        <x:v>0.8748124062031015</x:v>
      </x:c>
      <x:c r="E78" s="48" t="n">
        <x:v>0.99</x:v>
      </x:c>
      <x:c r="F78" s="45" t="n">
        <x:f>C78*D78*E78</x:f>
        <x:v>0.5196385692846422</x:v>
      </x:c>
      <x:c r="G78" s="45" t="n">
        <x:v>0.5248874437218609</x:v>
      </x:c>
      <x:c r="H78" s="54" t="n">
        <x:v>0.01</x:v>
      </x:c>
      <x:c r="I78" s="45" t="n">
        <x:f>MAX(F78,G78)</x:f>
        <x:v>0.5248874437218609</x:v>
      </x:c>
      <x:c r="J78" s="58" t="n">
        <x:f>ROUND(ROUNDUP(I78/H78,0)*H78,2)</x:f>
        <x:v>0.53</x:v>
      </x:c>
      <x:c r="K78" s="33"/>
      <x:c r="L78" s="33"/>
      <x:c r="M78" s="33"/>
      <x:c r="N78" s="33"/>
      <x:c r="O78" s="33"/>
    </x:row>
    <x:row r="79" ht="26" customHeight="1">
      <x:c r="A79" s="39" t="str">
        <x:v>Z060</x:v>
      </x:c>
      <x:c r="B79" s="39" t="str">
        <x:v>SAR</x:v>
      </x:c>
      <x:c r="C79" s="48" t="n">
        <x:v>0.6</x:v>
      </x:c>
      <x:c r="D79" s="51" t="n">
        <x:v>3.751042187760547</x:v>
      </x:c>
      <x:c r="E79" s="48" t="n">
        <x:v>0.99</x:v>
      </x:c>
      <x:c r="F79" s="45" t="n">
        <x:f>C79*D79*E79</x:f>
        <x:v>2.228119059529765</x:v>
      </x:c>
      <x:c r="G79" s="45" t="n">
        <x:v>2.2506253126563283</x:v>
      </x:c>
      <x:c r="H79" s="54" t="n">
        <x:v>0.1</x:v>
      </x:c>
      <x:c r="I79" s="45" t="n">
        <x:f>MAX(F79,G79)</x:f>
        <x:v>2.2506253126563283</x:v>
      </x:c>
      <x:c r="J79" s="58" t="n">
        <x:f>ROUND(ROUNDUP(I79/H79,0)*H79,2)</x:f>
        <x:v>2.3</x:v>
      </x:c>
      <x:c r="K79" s="33"/>
      <x:c r="L79" s="33"/>
      <x:c r="M79" s="33"/>
      <x:c r="N79" s="33"/>
      <x:c r="O79" s="33"/>
    </x:row>
    <x:row r="80" ht="26" customHeight="1">
      <x:c r="A80" s="39" t="str">
        <x:v>Z060</x:v>
      </x:c>
      <x:c r="B80" s="39" t="str">
        <x:v>UYU</x:v>
      </x:c>
      <x:c r="C80" s="48" t="n">
        <x:v>0.6</x:v>
      </x:c>
      <x:c r="D80" s="51" t="n">
        <x:v>39.936634984158744</x:v>
      </x:c>
      <x:c r="E80" s="48" t="n">
        <x:v>0.99</x:v>
      </x:c>
      <x:c r="F80" s="45" t="n">
        <x:f>C80*D80*E80</x:f>
        <x:v>23.722361180590294</x:v>
      </x:c>
      <x:c r="G80" s="45" t="n">
        <x:v>23.96198099049525</x:v>
      </x:c>
      <x:c r="H80" s="54" t="n">
        <x:v>1</x:v>
      </x:c>
      <x:c r="I80" s="45" t="n">
        <x:f>MAX(F80,G80)</x:f>
        <x:v>23.96198099049525</x:v>
      </x:c>
      <x:c r="J80" s="58" t="n">
        <x:f>ROUND(ROUNDUP(I80/H80,0)*H80,2)</x:f>
        <x:v>24</x:v>
      </x:c>
      <x:c r="K80" s="33"/>
      <x:c r="L80" s="33"/>
      <x:c r="M80" s="33"/>
      <x:c r="N80" s="33"/>
      <x:c r="O80" s="33"/>
    </x:row>
    <x:row r="81" ht="26" customHeight="1">
      <x:c r="A81" s="39" t="str">
        <x:v>Z065</x:v>
      </x:c>
      <x:c r="B81" s="39" t="str">
        <x:v>TWD</x:v>
      </x:c>
      <x:c r="C81" s="48" t="n">
        <x:v>0.65</x:v>
      </x:c>
      <x:c r="D81" s="51" t="n">
        <x:v>32.24689267710779</x:v>
      </x:c>
      <x:c r="E81" s="48" t="n">
        <x:v>0.99</x:v>
      </x:c>
      <x:c r="F81" s="45" t="n">
        <x:f>C81*D81*E81</x:f>
        <x:v>20.75087543771886</x:v>
      </x:c>
      <x:c r="G81" s="45" t="n">
        <x:v>19.34813560626467</x:v>
      </x:c>
      <x:c r="H81" s="54" t="n">
        <x:v>1</x:v>
      </x:c>
      <x:c r="I81" s="45" t="n">
        <x:f>MAX(F81,G81)</x:f>
        <x:v>20.75087543771886</x:v>
      </x:c>
      <x:c r="J81" s="58" t="n">
        <x:f>ROUND(ROUNDUP(I81/H81,0)*H81,2)</x:f>
        <x:v>21</x:v>
      </x:c>
      <x:c r="K81" s="33"/>
      <x:c r="L81" s="33"/>
      <x:c r="M81" s="33"/>
      <x:c r="N81" s="33"/>
      <x:c r="O81" s="33"/>
    </x:row>
    <x:row r="82" ht="26" customHeight="1">
      <x:c r="A82" s="39" t="str">
        <x:v>Z065</x:v>
      </x:c>
      <x:c r="B82" s="39" t="str">
        <x:v>KRW</x:v>
      </x:c>
      <x:c r="C82" s="48" t="n">
        <x:v>0.65</x:v>
      </x:c>
      <x:c r="D82" s="51" t="n">
        <x:v>1300.6503251625813</x:v>
      </x:c>
      <x:c r="E82" s="48" t="n">
        <x:v>0.99</x:v>
      </x:c>
      <x:c r="F82" s="45" t="n">
        <x:f>C82*D82*E82</x:f>
        <x:v>836.968484242121</x:v>
      </x:c>
      <x:c r="G82" s="45" t="n">
        <x:v>780.3901950975488</x:v>
      </x:c>
      <x:c r="H82" s="54" t="n">
        <x:v>10</x:v>
      </x:c>
      <x:c r="I82" s="45" t="n">
        <x:f>MAX(F82,G82)</x:f>
        <x:v>836.968484242121</x:v>
      </x:c>
      <x:c r="J82" s="58" t="n">
        <x:f>ROUND(ROUNDUP(I82/H82,0)*H82,2)</x:f>
        <x:v>840</x:v>
      </x:c>
      <x:c r="K82" s="33"/>
      <x:c r="L82" s="33"/>
      <x:c r="M82" s="33"/>
      <x:c r="N82" s="33"/>
      <x:c r="O82" s="33"/>
    </x:row>
    <x:row r="83" ht="26" customHeight="1">
      <x:c r="A83" s="39" t="str">
        <x:v>Z065</x:v>
      </x:c>
      <x:c r="B83" s="39" t="str">
        <x:v>JPY</x:v>
      </x:c>
      <x:c r="C83" s="48" t="n">
        <x:v>0.65</x:v>
      </x:c>
      <x:c r="D83" s="51" t="n">
        <x:v>152.3838842498172</x:v>
      </x:c>
      <x:c r="E83" s="48" t="n">
        <x:v>0.99</x:v>
      </x:c>
      <x:c r="F83" s="45" t="n">
        <x:f>C83*D83*E83</x:f>
        <x:v>98.05902951475738</x:v>
      </x:c>
      <x:c r="G83" s="45" t="n">
        <x:v>91.43033054989033</x:v>
      </x:c>
      <x:c r="H83" s="54" t="n">
        <x:v>1</x:v>
      </x:c>
      <x:c r="I83" s="45" t="n">
        <x:f>MAX(F83,G83)</x:f>
        <x:v>98.05902951475738</x:v>
      </x:c>
      <x:c r="J83" s="58" t="n">
        <x:f>ROUND(ROUNDUP(I83/H83,0)*H83,2)</x:f>
        <x:v>99</x:v>
      </x:c>
      <x:c r="K83" s="33"/>
      <x:c r="L83" s="33"/>
      <x:c r="M83" s="33"/>
      <x:c r="N83" s="33"/>
      <x:c r="O83" s="33"/>
    </x:row>
    <x:row r="84" ht="26" customHeight="1">
      <x:c r="A84" s="39" t="str">
        <x:v>Z065</x:v>
      </x:c>
      <x:c r="B84" s="39" t="str">
        <x:v>EUR</x:v>
      </x:c>
      <x:c r="C84" s="48" t="n">
        <x:v>0.65</x:v>
      </x:c>
      <x:c r="D84" s="51" t="n">
        <x:v>0.8748124062031015</x:v>
      </x:c>
      <x:c r="E84" s="48" t="n">
        <x:v>0.99</x:v>
      </x:c>
      <x:c r="F84" s="45" t="n">
        <x:f>C84*D84*E84</x:f>
        <x:v>0.5629417833916959</x:v>
      </x:c>
      <x:c r="G84" s="45" t="n">
        <x:v>0.5248874437218609</x:v>
      </x:c>
      <x:c r="H84" s="54" t="n">
        <x:v>0.01</x:v>
      </x:c>
      <x:c r="I84" s="45" t="n">
        <x:f>MAX(F84,G84)</x:f>
        <x:v>0.5629417833916959</x:v>
      </x:c>
      <x:c r="J84" s="58" t="n">
        <x:f>ROUND(ROUNDUP(I84/H84,0)*H84,2)</x:f>
        <x:v>0.57</x:v>
      </x:c>
      <x:c r="K84" s="33"/>
      <x:c r="L84" s="33"/>
      <x:c r="M84" s="33"/>
      <x:c r="N84" s="33"/>
      <x:c r="O84" s="33"/>
    </x:row>
    <x:row r="85" ht="26" customHeight="1">
      <x:c r="A85" s="39" t="str">
        <x:v>Z065</x:v>
      </x:c>
      <x:c r="B85" s="39" t="str">
        <x:v>USD</x:v>
      </x:c>
      <x:c r="C85" s="48" t="n">
        <x:v>0.65</x:v>
      </x:c>
      <x:c r="D85" s="51" t="n">
        <x:v>1</x:v>
      </x:c>
      <x:c r="E85" s="48" t="n">
        <x:v>0.99</x:v>
      </x:c>
      <x:c r="F85" s="45" t="n">
        <x:f>C85*D85*E85</x:f>
        <x:v>0.6435</x:v>
      </x:c>
      <x:c r="G85" s="45" t="n">
        <x:v>0.6</x:v>
      </x:c>
      <x:c r="H85" s="54" t="n">
        <x:v>0.01</x:v>
      </x:c>
      <x:c r="I85" s="45" t="n">
        <x:f>MAX(F85,G85)</x:f>
        <x:v>0.6435</x:v>
      </x:c>
      <x:c r="J85" s="58" t="n">
        <x:f>ROUND(ROUNDUP(I85/H85,0)*H85,2)</x:f>
        <x:v>0.65</x:v>
      </x:c>
      <x:c r="K85" s="33"/>
      <x:c r="L85" s="33"/>
      <x:c r="M85" s="33"/>
      <x:c r="N85" s="33"/>
      <x:c r="O85" s="33"/>
    </x:row>
    <x:row r="86" ht="26" customHeight="1">
      <x:c r="A86" s="39" t="str">
        <x:v>Z070</x:v>
      </x:c>
      <x:c r="B86" s="39" t="str">
        <x:v>EUR</x:v>
      </x:c>
      <x:c r="C86" s="48" t="n">
        <x:v>0.7</x:v>
      </x:c>
      <x:c r="D86" s="51" t="n">
        <x:v>0.8748124062031015</x:v>
      </x:c>
      <x:c r="E86" s="48" t="n">
        <x:v>0.99</x:v>
      </x:c>
      <x:c r="F86" s="45" t="n">
        <x:f>C86*D86*E86</x:f>
        <x:v>0.6062449974987494</x:v>
      </x:c>
      <x:c r="G86" s="45" t="n">
        <x:v>0.5248874437218609</x:v>
      </x:c>
      <x:c r="H86" s="54" t="n">
        <x:v>0.01</x:v>
      </x:c>
      <x:c r="I86" s="45" t="n">
        <x:f>MAX(F86,G86)</x:f>
        <x:v>0.6062449974987494</x:v>
      </x:c>
      <x:c r="J86" s="58" t="n">
        <x:f>ROUND(ROUNDUP(I86/H86,0)*H86,2)</x:f>
        <x:v>0.61</x:v>
      </x:c>
      <x:c r="K86" s="33"/>
      <x:c r="L86" s="33"/>
      <x:c r="M86" s="33"/>
      <x:c r="N86" s="33"/>
      <x:c r="O86" s="33"/>
    </x:row>
    <x:row r="87" ht="26" customHeight="1">
      <x:c r="A87" s="39" t="str">
        <x:v>Z075</x:v>
      </x:c>
      <x:c r="B87" s="39" t="str">
        <x:v>AED</x:v>
      </x:c>
      <x:c r="C87" s="48" t="n">
        <x:v>0.75</x:v>
      </x:c>
      <x:c r="D87" s="51" t="n">
        <x:v>3.6678339169584793</x:v>
      </x:c>
      <x:c r="E87" s="48" t="n">
        <x:v>0.99</x:v>
      </x:c>
      <x:c r="F87" s="45" t="n">
        <x:f>C87*D87*E87</x:f>
        <x:v>2.7233666833416708</x:v>
      </x:c>
      <x:c r="G87" s="45" t="n">
        <x:v>2.2007003501750875</x:v>
      </x:c>
      <x:c r="H87" s="54" t="n">
        <x:v>0.1</x:v>
      </x:c>
      <x:c r="I87" s="45" t="n">
        <x:f>MAX(F87,G87)</x:f>
        <x:v>2.7233666833416708</x:v>
      </x:c>
      <x:c r="J87" s="58" t="n">
        <x:f>ROUND(ROUNDUP(I87/H87,0)*H87,2)</x:f>
        <x:v>2.8</x:v>
      </x:c>
      <x:c r="K87" s="33"/>
      <x:c r="L87" s="33"/>
      <x:c r="M87" s="33"/>
      <x:c r="N87" s="33"/>
      <x:c r="O87" s="33"/>
    </x:row>
    <x:row r="88" ht="26" customHeight="1">
      <x:c r="A88" s="39" t="str">
        <x:v>Z075</x:v>
      </x:c>
      <x:c r="B88" s="39" t="str">
        <x:v>EUR</x:v>
      </x:c>
      <x:c r="C88" s="48" t="n">
        <x:v>0.75</x:v>
      </x:c>
      <x:c r="D88" s="51" t="n">
        <x:v>0.8748124062031015</x:v>
      </x:c>
      <x:c r="E88" s="48" t="n">
        <x:v>0.99</x:v>
      </x:c>
      <x:c r="F88" s="45" t="n">
        <x:f>C88*D88*E88</x:f>
        <x:v>0.6495482116058028</x:v>
      </x:c>
      <x:c r="G88" s="45" t="n">
        <x:v>0.5248874437218609</x:v>
      </x:c>
      <x:c r="H88" s="54" t="n">
        <x:v>0.01</x:v>
      </x:c>
      <x:c r="I88" s="45" t="n">
        <x:f>MAX(F88,G88)</x:f>
        <x:v>0.6495482116058028</x:v>
      </x:c>
      <x:c r="J88" s="58" t="n">
        <x:f>ROUND(ROUNDUP(I88/H88,0)*H88,2)</x:f>
        <x:v>0.65</x:v>
      </x:c>
      <x:c r="K88" s="33"/>
      <x:c r="L88" s="33"/>
      <x:c r="M88" s="33"/>
      <x:c r="N88" s="33"/>
      <x:c r="O88" s="33"/>
    </x:row>
    <x:row r="89" ht="26" customHeight="1">
      <x:c r="A89" s="39" t="str">
        <x:v>Z080</x:v>
      </x:c>
      <x:c r="B89" s="39" t="str">
        <x:v>HKD</x:v>
      </x:c>
      <x:c r="C89" s="48" t="n">
        <x:v>0.8</x:v>
      </x:c>
      <x:c r="D89" s="51" t="n">
        <x:v>8.066533266633316</x:v>
      </x:c>
      <x:c r="E89" s="48" t="n">
        <x:v>0.99</x:v>
      </x:c>
      <x:c r="F89" s="45" t="n">
        <x:f>C89*D89*E89</x:f>
        <x:v>6.388694347173587</x:v>
      </x:c>
      <x:c r="G89" s="45" t="n">
        <x:v>4.83991995997999</x:v>
      </x:c>
      <x:c r="H89" s="54" t="n">
        <x:v>0.1</x:v>
      </x:c>
      <x:c r="I89" s="45" t="n">
        <x:f>MAX(F89,G89)</x:f>
        <x:v>6.388694347173587</x:v>
      </x:c>
      <x:c r="J89" s="58" t="n">
        <x:f>ROUND(ROUNDUP(I89/H89,0)*H89,2)</x:f>
        <x:v>6.4</x:v>
      </x:c>
      <x:c r="K89" s="33"/>
      <x:c r="L89" s="33"/>
      <x:c r="M89" s="33"/>
      <x:c r="N89" s="33"/>
      <x:c r="O89" s="33"/>
    </x:row>
    <x:row r="90" ht="26" customHeight="1">
      <x:c r="A90" s="39" t="str">
        <x:v>Z080</x:v>
      </x:c>
      <x:c r="B90" s="39" t="str">
        <x:v>EUR</x:v>
      </x:c>
      <x:c r="C90" s="48" t="n">
        <x:v>0.8</x:v>
      </x:c>
      <x:c r="D90" s="51" t="n">
        <x:v>0.8748124062031015</x:v>
      </x:c>
      <x:c r="E90" s="48" t="n">
        <x:v>0.99</x:v>
      </x:c>
      <x:c r="F90" s="45" t="n">
        <x:f>C90*D90*E90</x:f>
        <x:v>0.6928514257128564</x:v>
      </x:c>
      <x:c r="G90" s="45" t="n">
        <x:v>0.5248874437218609</x:v>
      </x:c>
      <x:c r="H90" s="54" t="n">
        <x:v>0.01</x:v>
      </x:c>
      <x:c r="I90" s="45" t="n">
        <x:f>MAX(F90,G90)</x:f>
        <x:v>0.6928514257128564</x:v>
      </x:c>
      <x:c r="J90" s="58" t="n">
        <x:f>ROUND(ROUNDUP(I90/H90,0)*H90,2)</x:f>
        <x:v>0.7</x:v>
      </x:c>
      <x:c r="K90" s="33"/>
      <x:c r="L90" s="33"/>
      <x:c r="M90" s="33"/>
      <x:c r="N90" s="33"/>
      <x:c r="O90" s="33"/>
    </x:row>
    <x:row r="91" ht="26" customHeight="1">
      <x:c r="A91" s="39" t="str">
        <x:v>Z080</x:v>
      </x:c>
      <x:c r="B91" s="39" t="str">
        <x:v>MOP</x:v>
      </x:c>
      <x:c r="C91" s="48" t="n">
        <x:v>0.8</x:v>
      </x:c>
      <x:c r="D91" s="51" t="n">
        <x:v>8.066533266633316</x:v>
      </x:c>
      <x:c r="E91" s="48" t="n">
        <x:v>0.99</x:v>
      </x:c>
      <x:c r="F91" s="45" t="n">
        <x:f>C91*D91*E91</x:f>
        <x:v>6.388694347173587</x:v>
      </x:c>
      <x:c r="G91" s="45" t="n">
        <x:v>4.83991995997999</x:v>
      </x:c>
      <x:c r="H91" s="54" t="n">
        <x:v>0.1</x:v>
      </x:c>
      <x:c r="I91" s="45" t="n">
        <x:f>MAX(F91,G91)</x:f>
        <x:v>6.388694347173587</x:v>
      </x:c>
      <x:c r="J91" s="58" t="n">
        <x:f>ROUND(ROUNDUP(I91/H91,0)*H91,2)</x:f>
        <x:v>6.4</x:v>
      </x:c>
      <x:c r="K91" s="33"/>
      <x:c r="L91" s="33"/>
      <x:c r="M91" s="33"/>
      <x:c r="N91" s="33"/>
      <x:c r="O91" s="33"/>
    </x:row>
    <x:row r="92" ht="26" customHeight="1">
      <x:c r="A92" s="39" t="str">
        <x:v>Z085</x:v>
      </x:c>
      <x:c r="B92" s="39" t="str">
        <x:v>GBP</x:v>
      </x:c>
      <x:c r="C92" s="48" t="n">
        <x:v>0.85</x:v>
      </x:c>
      <x:c r="D92" s="51" t="n">
        <x:v>0.7644998970073272</x:v>
      </x:c>
      <x:c r="E92" s="48" t="n">
        <x:v>0.99</x:v>
      </x:c>
      <x:c r="F92" s="45" t="n">
        <x:f>C92*D92*E92</x:f>
        <x:v>0.6433266633316658</x:v>
      </x:c>
      <x:c r="G92" s="45" t="n">
        <x:v>0.4586999382043963</x:v>
      </x:c>
      <x:c r="H92" s="54" t="n">
        <x:v>0.01</x:v>
      </x:c>
      <x:c r="I92" s="45" t="n">
        <x:f>MAX(F92,G92)</x:f>
        <x:v>0.6433266633316658</x:v>
      </x:c>
      <x:c r="J92" s="58" t="n">
        <x:f>ROUND(ROUNDUP(I92/H92,0)*H92,2)</x:f>
        <x:v>0.65</x:v>
      </x:c>
      <x:c r="K92" s="33"/>
      <x:c r="L92" s="33"/>
      <x:c r="M92" s="33"/>
      <x:c r="N92" s="33"/>
      <x:c r="O92" s="33"/>
    </x:row>
    <x:row r="93" ht="26" customHeight="1">
      <x:c r="A93" s="39" t="str">
        <x:v>Z085</x:v>
      </x:c>
      <x:c r="B93" s="39" t="str">
        <x:v>NZD</x:v>
      </x:c>
      <x:c r="C93" s="48" t="n">
        <x:v>0.85</x:v>
      </x:c>
      <x:c r="D93" s="51" t="n">
        <x:v>1.7650001471323897</x:v>
      </x:c>
      <x:c r="E93" s="48" t="n">
        <x:v>0.99</x:v>
      </x:c>
      <x:c r="F93" s="45" t="n">
        <x:f>C93*D93*E93</x:f>
        <x:v>1.485247623811906</x:v>
      </x:c>
      <x:c r="G93" s="45" t="n">
        <x:v>1.059000088279434</x:v>
      </x:c>
      <x:c r="H93" s="54" t="n">
        <x:v>0.1</x:v>
      </x:c>
      <x:c r="I93" s="45" t="n">
        <x:f>MAX(F93,G93)</x:f>
        <x:v>1.485247623811906</x:v>
      </x:c>
      <x:c r="J93" s="58" t="n">
        <x:f>ROUND(ROUNDUP(I93/H93,0)*H93,2)</x:f>
        <x:v>1.5</x:v>
      </x:c>
      <x:c r="K93" s="33"/>
      <x:c r="L93" s="33"/>
      <x:c r="M93" s="33"/>
      <x:c r="N93" s="33"/>
      <x:c r="O93" s="33"/>
    </x:row>
    <x:row r="94" ht="26" customHeight="1">
      <x:c r="A94" s="39" t="str">
        <x:v>Z085</x:v>
      </x:c>
      <x:c r="B94" s="39" t="str">
        <x:v>EUR</x:v>
      </x:c>
      <x:c r="C94" s="48" t="n">
        <x:v>0.85</x:v>
      </x:c>
      <x:c r="D94" s="51" t="n">
        <x:v>0.8748124062031015</x:v>
      </x:c>
      <x:c r="E94" s="48" t="n">
        <x:v>0.99</x:v>
      </x:c>
      <x:c r="F94" s="45" t="n">
        <x:f>C94*D94*E94</x:f>
        <x:v>0.7361546398199099</x:v>
      </x:c>
      <x:c r="G94" s="45" t="n">
        <x:v>0.5248874437218609</x:v>
      </x:c>
      <x:c r="H94" s="54" t="n">
        <x:v>0.01</x:v>
      </x:c>
      <x:c r="I94" s="45" t="n">
        <x:f>MAX(F94,G94)</x:f>
        <x:v>0.7361546398199099</x:v>
      </x:c>
      <x:c r="J94" s="58" t="n">
        <x:f>ROUND(ROUNDUP(I94/H94,0)*H94,2)</x:f>
        <x:v>0.74</x:v>
      </x:c>
      <x:c r="K94" s="33"/>
      <x:c r="L94" s="33"/>
      <x:c r="M94" s="33"/>
      <x:c r="N94" s="33"/>
      <x:c r="O94" s="33"/>
    </x:row>
    <x:row r="95" ht="26" customHeight="1">
      <x:c r="A95" s="39" t="str">
        <x:v>Z085</x:v>
      </x:c>
      <x:c r="B95" s="39" t="str">
        <x:v>BSD</x:v>
      </x:c>
      <x:c r="C95" s="48" t="n">
        <x:v>0.85</x:v>
      </x:c>
      <x:c r="D95" s="51" t="n">
        <x:v>0.9999117205661654</x:v>
      </x:c>
      <x:c r="E95" s="48" t="n">
        <x:v>0.99</x:v>
      </x:c>
      <x:c r="F95" s="45" t="n">
        <x:f>C95*D95*E95</x:f>
        <x:v>0.8414257128564282</x:v>
      </x:c>
      <x:c r="G95" s="45" t="n">
        <x:v>0.5999470323396993</x:v>
      </x:c>
      <x:c r="H95" s="54" t="n">
        <x:v>0.01</x:v>
      </x:c>
      <x:c r="I95" s="45" t="n">
        <x:f>MAX(F95,G95)</x:f>
        <x:v>0.8414257128564282</x:v>
      </x:c>
      <x:c r="J95" s="58" t="n">
        <x:f>ROUND(ROUNDUP(I95/H95,0)*H95,2)</x:f>
        <x:v>0.85</x:v>
      </x:c>
      <x:c r="K95" s="33"/>
      <x:c r="L95" s="33"/>
      <x:c r="M95" s="33"/>
      <x:c r="N95" s="33"/>
      <x:c r="O95" s="33"/>
    </x:row>
    <x:row r="96" ht="26" customHeight="1">
      <x:c r="A96" s="39" t="str">
        <x:v>Z085</x:v>
      </x:c>
      <x:c r="B96" s="39" t="str">
        <x:v>SEK</x:v>
      </x:c>
      <x:c r="C96" s="48" t="n">
        <x:v>0.85</x:v>
      </x:c>
      <x:c r="D96" s="51" t="n">
        <x:v>9.886708059912308</x:v>
      </x:c>
      <x:c r="E96" s="48" t="n">
        <x:v>0.99</x:v>
      </x:c>
      <x:c r="F96" s="45" t="n">
        <x:f>C96*D96*E96</x:f>
        <x:v>8.319664832416207</x:v>
      </x:c>
      <x:c r="G96" s="45" t="n">
        <x:v>5.932024835947385</x:v>
      </x:c>
      <x:c r="H96" s="54" t="n">
        <x:v>0.1</x:v>
      </x:c>
      <x:c r="I96" s="45" t="n">
        <x:f>MAX(F96,G96)</x:f>
        <x:v>8.319664832416207</x:v>
      </x:c>
      <x:c r="J96" s="58" t="n">
        <x:f>ROUND(ROUNDUP(I96/H96,0)*H96,2)</x:f>
        <x:v>8.4</x:v>
      </x:c>
      <x:c r="K96" s="33"/>
      <x:c r="L96" s="33"/>
      <x:c r="M96" s="33"/>
      <x:c r="N96" s="33"/>
      <x:c r="O96" s="33"/>
    </x:row>
    <x:row r="97" ht="26" customHeight="1">
      <x:c r="A97" s="39" t="str">
        <x:v>Z090</x:v>
      </x:c>
      <x:c r="B97" s="39" t="str">
        <x:v>CAD</x:v>
      </x:c>
      <x:c r="C97" s="48" t="n">
        <x:v>0.9</x:v>
      </x:c>
      <x:c r="D97" s="51" t="n">
        <x:v>1.3890278472569617</x:v>
      </x:c>
      <x:c r="E97" s="48" t="n">
        <x:v>0.99</x:v>
      </x:c>
      <x:c r="F97" s="45" t="n">
        <x:f>C97*D97*E97</x:f>
        <x:v>1.237623811905953</x:v>
      </x:c>
      <x:c r="G97" s="45" t="n">
        <x:v>0.8334167083541771</x:v>
      </x:c>
      <x:c r="H97" s="54" t="n">
        <x:v>0.1</x:v>
      </x:c>
      <x:c r="I97" s="45" t="n">
        <x:f>MAX(F97,G97)</x:f>
        <x:v>1.237623811905953</x:v>
      </x:c>
      <x:c r="J97" s="58" t="n">
        <x:f>ROUND(ROUNDUP(I97/H97,0)*H97,2)</x:f>
        <x:v>1.3</x:v>
      </x:c>
      <x:c r="K97" s="33"/>
      <x:c r="L97" s="33"/>
      <x:c r="M97" s="33"/>
      <x:c r="N97" s="33"/>
      <x:c r="O97" s="33"/>
    </x:row>
    <x:row r="98" ht="26" customHeight="1">
      <x:c r="A98" s="39" t="str">
        <x:v>Z090</x:v>
      </x:c>
      <x:c r="B98" s="39" t="str">
        <x:v>SGD</x:v>
      </x:c>
      <x:c r="C98" s="48" t="n">
        <x:v>0.9</x:v>
      </x:c>
      <x:c r="D98" s="51" t="n">
        <x:v>1.2778611527986214</x:v>
      </x:c>
      <x:c r="E98" s="48" t="n">
        <x:v>0.99</x:v>
      </x:c>
      <x:c r="F98" s="45" t="n">
        <x:f>C98*D98*E98</x:f>
        <x:v>1.1385742871435718</x:v>
      </x:c>
      <x:c r="G98" s="45" t="n">
        <x:v>0.7667166916791729</x:v>
      </x:c>
      <x:c r="H98" s="54" t="n">
        <x:v>0.1</x:v>
      </x:c>
      <x:c r="I98" s="45" t="n">
        <x:f>MAX(F98,G98)</x:f>
        <x:v>1.1385742871435718</x:v>
      </x:c>
      <x:c r="J98" s="58" t="n">
        <x:f>ROUND(ROUNDUP(I98/H98,0)*H98,2)</x:f>
        <x:v>1.2</x:v>
      </x:c>
      <x:c r="K98" s="33"/>
      <x:c r="L98" s="33"/>
      <x:c r="M98" s="33"/>
      <x:c r="N98" s="33"/>
      <x:c r="O98" s="33"/>
    </x:row>
    <x:row r="99" ht="26" customHeight="1">
      <x:c r="A99" s="39" t="str">
        <x:v>Z095</x:v>
      </x:c>
      <x:c r="B99" s="39" t="str">
        <x:v>AUD</x:v>
      </x:c>
      <x:c r="C99" s="48" t="n">
        <x:v>0.95</x:v>
      </x:c>
      <x:c r="D99" s="51" t="n">
        <x:v>1.421236934256602</x:v>
      </x:c>
      <x:c r="E99" s="48" t="n">
        <x:v>0.99</x:v>
      </x:c>
      <x:c r="F99" s="45" t="n">
        <x:f>C99*D99*E99</x:f>
        <x:v>1.336673336668334</x:v>
      </x:c>
      <x:c r="G99" s="45" t="n">
        <x:v>0.8527421605539612</x:v>
      </x:c>
      <x:c r="H99" s="54" t="n">
        <x:v>0.1</x:v>
      </x:c>
      <x:c r="I99" s="45" t="n">
        <x:f>MAX(F99,G99)</x:f>
        <x:v>1.336673336668334</x:v>
      </x:c>
      <x:c r="J99" s="58" t="n">
        <x:f>ROUND(ROUNDUP(I99/H99,0)*H99,2)</x:f>
        <x:v>1.4</x:v>
      </x:c>
      <x:c r="K99" s="33"/>
      <x:c r="L99" s="33"/>
      <x:c r="M99" s="33"/>
      <x:c r="N99" s="33"/>
      <x:c r="O99" s="33"/>
    </x:row>
    <x:row r="100" ht="26" customHeight="1">
      <x:c r="A100" s="39" t="str">
        <x:v>Z095</x:v>
      </x:c>
      <x:c r="B100" s="39" t="str">
        <x:v>EUR</x:v>
      </x:c>
      <x:c r="C100" s="48" t="n">
        <x:v>0.95</x:v>
      </x:c>
      <x:c r="D100" s="51" t="n">
        <x:v>0.8748124062031015</x:v>
      </x:c>
      <x:c r="E100" s="48" t="n">
        <x:v>0.99</x:v>
      </x:c>
      <x:c r="F100" s="45" t="n">
        <x:f>C100*D100*E100</x:f>
        <x:v>0.8227610680340169</x:v>
      </x:c>
      <x:c r="G100" s="45" t="n">
        <x:v>0.5248874437218609</x:v>
      </x:c>
      <x:c r="H100" s="54" t="n">
        <x:v>0.01</x:v>
      </x:c>
      <x:c r="I100" s="45" t="n">
        <x:f>MAX(F100,G100)</x:f>
        <x:v>0.8227610680340169</x:v>
      </x:c>
      <x:c r="J100" s="58" t="n">
        <x:f>ROUND(ROUNDUP(I100/H100,0)*H100,2)</x:f>
        <x:v>0.83</x:v>
      </x:c>
      <x:c r="K100" s="33"/>
      <x:c r="L100" s="33"/>
      <x:c r="M100" s="33"/>
      <x:c r="N100" s="33"/>
      <x:c r="O100" s="33"/>
    </x:row>
    <x:row r="101" ht="26" customHeight="1">
      <x:c r="A101" s="39" t="str">
        <x:v>Z100</x:v>
      </x:c>
      <x:c r="B101" s="39" t="str">
        <x:v>USD</x:v>
      </x:c>
      <x:c r="C101" s="48" t="n">
        <x:v>1</x:v>
      </x:c>
      <x:c r="D101" s="51" t="n">
        <x:v>1</x:v>
      </x:c>
      <x:c r="E101" s="48" t="n">
        <x:v>0.99</x:v>
      </x:c>
      <x:c r="F101" s="45" t="n">
        <x:f>C101*D101*E101</x:f>
        <x:v>0.99</x:v>
      </x:c>
      <x:c r="G101" s="45" t="n">
        <x:v>0.6</x:v>
      </x:c>
      <x:c r="H101" s="54" t="n">
        <x:v>0.01</x:v>
      </x:c>
      <x:c r="I101" s="45" t="n">
        <x:f>MAX(F101,G101)</x:f>
        <x:v>0.99</x:v>
      </x:c>
      <x:c r="J101" s="58" t="n">
        <x:f>ROUND(ROUNDUP(I101/H101,0)*H101,2)</x:f>
        <x:v>0.99</x:v>
      </x:c>
      <x:c r="K101" s="33"/>
      <x:c r="L101" s="33"/>
      <x:c r="M101" s="33"/>
      <x:c r="N101" s="33"/>
      <x:c r="O101" s="33"/>
    </x:row>
    <x:row r="102" ht="26" customHeight="1">
      <x:c r="A102" s="39" t="str">
        <x:v>Z100</x:v>
      </x:c>
      <x:c r="B102" s="39" t="str">
        <x:v>EUR</x:v>
      </x:c>
      <x:c r="C102" s="48" t="n">
        <x:v>1</x:v>
      </x:c>
      <x:c r="D102" s="51" t="n">
        <x:v>0.8748124062031015</x:v>
      </x:c>
      <x:c r="E102" s="48" t="n">
        <x:v>0.99</x:v>
      </x:c>
      <x:c r="F102" s="45" t="n">
        <x:f>C102*D102*E102</x:f>
        <x:v>0.8660642821410705</x:v>
      </x:c>
      <x:c r="G102" s="45" t="n">
        <x:v>0.5248874437218609</x:v>
      </x:c>
      <x:c r="H102" s="54" t="n">
        <x:v>0.01</x:v>
      </x:c>
      <x:c r="I102" s="45" t="n">
        <x:f>MAX(F102,G102)</x:f>
        <x:v>0.8660642821410705</x:v>
      </x:c>
      <x:c r="J102" s="58" t="n">
        <x:f>ROUND(ROUNDUP(I102/H102,0)*H102,2)</x:f>
        <x:v>0.87</x:v>
      </x:c>
      <x:c r="K102" s="33"/>
      <x:c r="L102" s="33"/>
      <x:c r="M102" s="33"/>
      <x:c r="N102" s="33"/>
      <x:c r="O102" s="33"/>
    </x:row>
    <x:row r="103" ht="26" customHeight="1">
      <x:c r="A103" s="39" t="str">
        <x:v>Z100</x:v>
      </x:c>
      <x:c r="B103" s="39" t="str">
        <x:v>BMD</x:v>
      </x:c>
      <x:c r="C103" s="48" t="n">
        <x:v>1</x:v>
      </x:c>
      <x:c r="D103" s="51" t="n">
        <x:v>1</x:v>
      </x:c>
      <x:c r="E103" s="48" t="n">
        <x:v>0.99</x:v>
      </x:c>
      <x:c r="F103" s="45" t="n">
        <x:f>C103*D103*E103</x:f>
        <x:v>0.99</x:v>
      </x:c>
      <x:c r="G103" s="45" t="n">
        <x:v>0.6</x:v>
      </x:c>
      <x:c r="H103" s="54" t="n">
        <x:v>0.01</x:v>
      </x:c>
      <x:c r="I103" s="45" t="n">
        <x:f>MAX(F103,G103)</x:f>
        <x:v>0.99</x:v>
      </x:c>
      <x:c r="J103" s="58" t="n">
        <x:f>ROUND(ROUNDUP(I103/H103,0)*H103,2)</x:f>
        <x:v>0.99</x:v>
      </x:c>
      <x:c r="K103" s="33"/>
      <x:c r="L103" s="33"/>
      <x:c r="M103" s="33"/>
      <x:c r="N103" s="33"/>
      <x:c r="O103" s="33"/>
    </x:row>
    <x:row r="104" ht="26" customHeight="1">
      <x:c r="A104" s="40" t="str">
        <x:v>Z100</x:v>
      </x:c>
      <x:c r="B104" s="40" t="str">
        <x:v>NOK</x:v>
      </x:c>
      <x:c r="C104" s="49" t="n">
        <x:v>1</x:v>
      </x:c>
      <x:c r="D104" s="52" t="n">
        <x:v>9.454227113556778</x:v>
      </x:c>
      <x:c r="E104" s="49" t="n">
        <x:v>0.99</x:v>
      </x:c>
      <x:c r="F104" s="46" t="n">
        <x:f>C104*D104*E104</x:f>
        <x:v>9.35968484242121</x:v>
      </x:c>
      <x:c r="G104" s="46" t="n">
        <x:v>5.672536268134067</x:v>
      </x:c>
      <x:c r="H104" s="55" t="n">
        <x:v>0.1</x:v>
      </x:c>
      <x:c r="I104" s="46" t="n">
        <x:f>MAX(F104,G104)</x:f>
        <x:v>9.35968484242121</x:v>
      </x:c>
      <x:c r="J104" s="59" t="n">
        <x:f>ROUND(ROUNDUP(I104/H104,0)*H104,2)</x:f>
        <x:v>9.4</x:v>
      </x:c>
      <x:c r="K104" s="33"/>
      <x:c r="L104" s="33"/>
      <x:c r="M104" s="33"/>
      <x:c r="N104" s="33"/>
      <x:c r="O104" s="3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12" hidden="0" customWidth="1"/>
    <x:col min="4" max="4" width="25" hidden="0" customWidth="1"/>
    <x:col min="5" max="5" width="20" hidden="0" customWidth="1"/>
    <x:col min="6" max="6" width="45" hidden="0" customWidth="1"/>
    <x:col min="7" max="7" width="22" hidden="0" customWidth="1"/>
  </x:cols>
  <x:sheetData>
    <x:row r="1" ht="32" customHeight="1">
      <x:c r="A1" s="68" t="str">
        <x:v>国家／地区</x:v>
      </x:c>
      <x:c r="B1" s="68" t="str">
        <x:v>组别</x:v>
      </x:c>
      <x:c r="C1" s="68" t="str">
        <x:v>销售币种</x:v>
      </x:c>
      <x:c r="D1" s="68" t="str">
        <x:v>商品／周期</x:v>
      </x:c>
      <x:c r="E1" s="68" t="str">
        <x:v>批准后金额</x:v>
      </x:c>
      <x:c r="F1" s="68" t="str">
        <x:v>本地显示参考（代码未接入）</x:v>
      </x:c>
      <x:c r="G1" s="68" t="str">
        <x:v>locale参考</x:v>
      </x:c>
    </x:row>
    <x:row r="2" ht="27" customHeight="1">
      <x:c r="A2" s="71" t="str">
        <x:v>中国香港</x:v>
      </x:c>
      <x:c r="B2" s="71" t="str">
        <x:v>第1组</x:v>
      </x:c>
      <x:c r="C2" s="71" t="str">
        <x:v>HKD</x:v>
      </x:c>
      <x:c r="D2" s="71" t="str">
        <x:v>Trial／7天</x:v>
      </x:c>
      <x:c r="E2" s="72" t="n">
        <x:v>19</x:v>
      </x:c>
      <x:c r="F2" s="71" t="str">
        <x:v>HK$19</x:v>
      </x:c>
      <x:c r="G2" s="71" t="str">
        <x:v>zh-HK</x:v>
      </x:c>
    </x:row>
    <x:row r="3" ht="27" customHeight="1">
      <x:c r="A3" s="71" t="str">
        <x:v>中国香港</x:v>
      </x:c>
      <x:c r="B3" s="71" t="str">
        <x:v>第1组</x:v>
      </x:c>
      <x:c r="C3" s="71" t="str">
        <x:v>HKD</x:v>
      </x:c>
      <x:c r="D3" s="71" t="str">
        <x:v>Basic／月</x:v>
      </x:c>
      <x:c r="E3" s="72" t="n">
        <x:v>129</x:v>
      </x:c>
      <x:c r="F3" s="71" t="str">
        <x:v>HK$129</x:v>
      </x:c>
      <x:c r="G3" s="71" t="str">
        <x:v>zh-HK</x:v>
      </x:c>
    </x:row>
    <x:row r="4" ht="27" customHeight="1">
      <x:c r="A4" s="71" t="str">
        <x:v>中国香港</x:v>
      </x:c>
      <x:c r="B4" s="71" t="str">
        <x:v>第1组</x:v>
      </x:c>
      <x:c r="C4" s="71" t="str">
        <x:v>HKD</x:v>
      </x:c>
      <x:c r="D4" s="71" t="str">
        <x:v>Plus／月</x:v>
      </x:c>
      <x:c r="E4" s="72" t="n">
        <x:v>249</x:v>
      </x:c>
      <x:c r="F4" s="71" t="str">
        <x:v>HK$249</x:v>
      </x:c>
      <x:c r="G4" s="71" t="str">
        <x:v>zh-HK</x:v>
      </x:c>
    </x:row>
    <x:row r="5" ht="27" customHeight="1">
      <x:c r="A5" s="71" t="str">
        <x:v>中国香港</x:v>
      </x:c>
      <x:c r="B5" s="71" t="str">
        <x:v>第1组</x:v>
      </x:c>
      <x:c r="C5" s="71" t="str">
        <x:v>HKD</x:v>
      </x:c>
      <x:c r="D5" s="71" t="str">
        <x:v>新Pro／月</x:v>
      </x:c>
      <x:c r="E5" s="72" t="n">
        <x:v>189</x:v>
      </x:c>
      <x:c r="F5" s="71" t="str">
        <x:v>HK$189</x:v>
      </x:c>
      <x:c r="G5" s="71" t="str">
        <x:v>zh-HK</x:v>
      </x:c>
    </x:row>
    <x:row r="6" ht="27" customHeight="1">
      <x:c r="A6" s="71" t="str">
        <x:v>中国香港</x:v>
      </x:c>
      <x:c r="B6" s="71" t="str">
        <x:v>第1组</x:v>
      </x:c>
      <x:c r="C6" s="71" t="str">
        <x:v>HKD</x:v>
      </x:c>
      <x:c r="D6" s="71" t="str">
        <x:v>Basic／年</x:v>
      </x:c>
      <x:c r="E6" s="72" t="n">
        <x:v>619</x:v>
      </x:c>
      <x:c r="F6" s="71" t="str">
        <x:v>HK$619</x:v>
      </x:c>
      <x:c r="G6" s="71" t="str">
        <x:v>zh-HK</x:v>
      </x:c>
    </x:row>
    <x:row r="7" ht="27" customHeight="1">
      <x:c r="A7" s="71" t="str">
        <x:v>中国香港</x:v>
      </x:c>
      <x:c r="B7" s="71" t="str">
        <x:v>第1组</x:v>
      </x:c>
      <x:c r="C7" s="71" t="str">
        <x:v>HKD</x:v>
      </x:c>
      <x:c r="D7" s="71" t="str">
        <x:v>Plus／年</x:v>
      </x:c>
      <x:c r="E7" s="72" t="n">
        <x:v>1199</x:v>
      </x:c>
      <x:c r="F7" s="71" t="str">
        <x:v>HK$1,199</x:v>
      </x:c>
      <x:c r="G7" s="71" t="str">
        <x:v>zh-HK</x:v>
      </x:c>
    </x:row>
    <x:row r="8" ht="27" customHeight="1">
      <x:c r="A8" s="71" t="str">
        <x:v>中国香港</x:v>
      </x:c>
      <x:c r="B8" s="71" t="str">
        <x:v>第1组</x:v>
      </x:c>
      <x:c r="C8" s="71" t="str">
        <x:v>HKD</x:v>
      </x:c>
      <x:c r="D8" s="71" t="str">
        <x:v>新Pro／年</x:v>
      </x:c>
      <x:c r="E8" s="72" t="n">
        <x:v>2268</x:v>
      </x:c>
      <x:c r="F8" s="71" t="str">
        <x:v>HK$2,268</x:v>
      </x:c>
      <x:c r="G8" s="71" t="str">
        <x:v>zh-HK</x:v>
      </x:c>
    </x:row>
    <x:row r="9" ht="27" customHeight="1">
      <x:c r="A9" s="71" t="str">
        <x:v>中国香港</x:v>
      </x:c>
      <x:c r="B9" s="71" t="str">
        <x:v>第1组</x:v>
      </x:c>
      <x:c r="C9" s="71" t="str">
        <x:v>HKD</x:v>
      </x:c>
      <x:c r="D9" s="71" t="str">
        <x:v>作业包／3份</x:v>
      </x:c>
      <x:c r="E9" s="72" t="n">
        <x:v>59</x:v>
      </x:c>
      <x:c r="F9" s="71" t="str">
        <x:v>HK$59</x:v>
      </x:c>
      <x:c r="G9" s="71" t="str">
        <x:v>zh-HK</x:v>
      </x:c>
    </x:row>
    <x:row r="10" ht="27" customHeight="1">
      <x:c r="A10" s="71" t="str">
        <x:v>中国香港</x:v>
      </x:c>
      <x:c r="B10" s="71" t="str">
        <x:v>第1组</x:v>
      </x:c>
      <x:c r="C10" s="71" t="str">
        <x:v>HKD</x:v>
      </x:c>
      <x:c r="D10" s="71" t="str">
        <x:v>检测包／5份</x:v>
      </x:c>
      <x:c r="E10" s="72" t="n">
        <x:v>29</x:v>
      </x:c>
      <x:c r="F10" s="71" t="str">
        <x:v>HK$29</x:v>
      </x:c>
      <x:c r="G10" s="71" t="str">
        <x:v>zh-HK</x:v>
      </x:c>
    </x:row>
    <x:row r="11" ht="27" customHeight="1">
      <x:c r="A11" s="71" t="str">
        <x:v>中国香港</x:v>
      </x:c>
      <x:c r="B11" s="71" t="str">
        <x:v>第1组</x:v>
      </x:c>
      <x:c r="C11" s="71" t="str">
        <x:v>HKD</x:v>
      </x:c>
      <x:c r="D11" s="71" t="str">
        <x:v>Humanizer包／3份</x:v>
      </x:c>
      <x:c r="E11" s="72" t="n">
        <x:v>45</x:v>
      </x:c>
      <x:c r="F11" s="71" t="str">
        <x:v>HK$45</x:v>
      </x:c>
      <x:c r="G11" s="71" t="str">
        <x:v>zh-HK</x:v>
      </x:c>
    </x:row>
    <x:row r="12" ht="27" customHeight="1">
      <x:c r="A12" s="71" t="str">
        <x:v>中国香港</x:v>
      </x:c>
      <x:c r="B12" s="71" t="str">
        <x:v>第1组</x:v>
      </x:c>
      <x:c r="C12" s="71" t="str">
        <x:v>HKD</x:v>
      </x:c>
      <x:c r="D12" s="71" t="str">
        <x:v>Study Pass／月</x:v>
      </x:c>
      <x:c r="E12" s="73" t="n">
        <x:v>6.4</x:v>
      </x:c>
      <x:c r="F12" s="71" t="str">
        <x:v>HK$6.40</x:v>
      </x:c>
      <x:c r="G12" s="71" t="str">
        <x:v>zh-HK</x:v>
      </x:c>
    </x:row>
    <x:row r="13" ht="27" customHeight="1">
      <x:c r="A13" s="71" t="str">
        <x:v>中国台湾</x:v>
      </x:c>
      <x:c r="B13" s="71" t="str">
        <x:v>第1组</x:v>
      </x:c>
      <x:c r="C13" s="71" t="str">
        <x:v>TWD</x:v>
      </x:c>
      <x:c r="D13" s="71" t="str">
        <x:v>Trial／7天</x:v>
      </x:c>
      <x:c r="E13" s="72" t="n">
        <x:v>59</x:v>
      </x:c>
      <x:c r="F13" s="71" t="str">
        <x:v>$59</x:v>
      </x:c>
      <x:c r="G13" s="71" t="str">
        <x:v>zh-TW</x:v>
      </x:c>
    </x:row>
    <x:row r="14" ht="27" customHeight="1">
      <x:c r="A14" s="71" t="str">
        <x:v>中国台湾</x:v>
      </x:c>
      <x:c r="B14" s="71" t="str">
        <x:v>第1组</x:v>
      </x:c>
      <x:c r="C14" s="71" t="str">
        <x:v>TWD</x:v>
      </x:c>
      <x:c r="D14" s="71" t="str">
        <x:v>Basic／月</x:v>
      </x:c>
      <x:c r="E14" s="72" t="n">
        <x:v>419</x:v>
      </x:c>
      <x:c r="F14" s="71" t="str">
        <x:v>$419</x:v>
      </x:c>
      <x:c r="G14" s="71" t="str">
        <x:v>zh-TW</x:v>
      </x:c>
    </x:row>
    <x:row r="15" ht="27" customHeight="1">
      <x:c r="A15" s="71" t="str">
        <x:v>中国台湾</x:v>
      </x:c>
      <x:c r="B15" s="71" t="str">
        <x:v>第1组</x:v>
      </x:c>
      <x:c r="C15" s="71" t="str">
        <x:v>TWD</x:v>
      </x:c>
      <x:c r="D15" s="71" t="str">
        <x:v>Plus／月</x:v>
      </x:c>
      <x:c r="E15" s="72" t="n">
        <x:v>839</x:v>
      </x:c>
      <x:c r="F15" s="71" t="str">
        <x:v>$839</x:v>
      </x:c>
      <x:c r="G15" s="71" t="str">
        <x:v>zh-TW</x:v>
      </x:c>
    </x:row>
    <x:row r="16" ht="27" customHeight="1">
      <x:c r="A16" s="71" t="str">
        <x:v>中国台湾</x:v>
      </x:c>
      <x:c r="B16" s="71" t="str">
        <x:v>第1组</x:v>
      </x:c>
      <x:c r="C16" s="71" t="str">
        <x:v>TWD</x:v>
      </x:c>
      <x:c r="D16" s="71" t="str">
        <x:v>新Pro／月</x:v>
      </x:c>
      <x:c r="E16" s="72" t="n">
        <x:v>629</x:v>
      </x:c>
      <x:c r="F16" s="71" t="str">
        <x:v>$629</x:v>
      </x:c>
      <x:c r="G16" s="71" t="str">
        <x:v>zh-TW</x:v>
      </x:c>
    </x:row>
    <x:row r="17" ht="27" customHeight="1">
      <x:c r="A17" s="71" t="str">
        <x:v>中国台湾</x:v>
      </x:c>
      <x:c r="B17" s="71" t="str">
        <x:v>第1组</x:v>
      </x:c>
      <x:c r="C17" s="71" t="str">
        <x:v>TWD</x:v>
      </x:c>
      <x:c r="D17" s="71" t="str">
        <x:v>Basic／年</x:v>
      </x:c>
      <x:c r="E17" s="72" t="n">
        <x:v>1999</x:v>
      </x:c>
      <x:c r="F17" s="71" t="str">
        <x:v>$1,999</x:v>
      </x:c>
      <x:c r="G17" s="71" t="str">
        <x:v>zh-TW</x:v>
      </x:c>
    </x:row>
    <x:row r="18" ht="27" customHeight="1">
      <x:c r="A18" s="71" t="str">
        <x:v>中国台湾</x:v>
      </x:c>
      <x:c r="B18" s="71" t="str">
        <x:v>第1组</x:v>
      </x:c>
      <x:c r="C18" s="71" t="str">
        <x:v>TWD</x:v>
      </x:c>
      <x:c r="D18" s="71" t="str">
        <x:v>Plus／年</x:v>
      </x:c>
      <x:c r="E18" s="72" t="n">
        <x:v>3999</x:v>
      </x:c>
      <x:c r="F18" s="71" t="str">
        <x:v>$3,999</x:v>
      </x:c>
      <x:c r="G18" s="71" t="str">
        <x:v>zh-TW</x:v>
      </x:c>
    </x:row>
    <x:row r="19" ht="27" customHeight="1">
      <x:c r="A19" s="71" t="str">
        <x:v>中国台湾</x:v>
      </x:c>
      <x:c r="B19" s="71" t="str">
        <x:v>第1组</x:v>
      </x:c>
      <x:c r="C19" s="71" t="str">
        <x:v>TWD</x:v>
      </x:c>
      <x:c r="D19" s="71" t="str">
        <x:v>新Pro／年</x:v>
      </x:c>
      <x:c r="E19" s="72" t="n">
        <x:v>7548</x:v>
      </x:c>
      <x:c r="F19" s="71" t="str">
        <x:v>$7,548</x:v>
      </x:c>
      <x:c r="G19" s="71" t="str">
        <x:v>zh-TW</x:v>
      </x:c>
    </x:row>
    <x:row r="20" ht="27" customHeight="1">
      <x:c r="A20" s="71" t="str">
        <x:v>中国台湾</x:v>
      </x:c>
      <x:c r="B20" s="71" t="str">
        <x:v>第1组</x:v>
      </x:c>
      <x:c r="C20" s="71" t="str">
        <x:v>TWD</x:v>
      </x:c>
      <x:c r="D20" s="71" t="str">
        <x:v>作业包／3份</x:v>
      </x:c>
      <x:c r="E20" s="72" t="n">
        <x:v>209</x:v>
      </x:c>
      <x:c r="F20" s="71" t="str">
        <x:v>$209</x:v>
      </x:c>
      <x:c r="G20" s="71" t="str">
        <x:v>zh-TW</x:v>
      </x:c>
    </x:row>
    <x:row r="21" ht="27" customHeight="1">
      <x:c r="A21" s="71" t="str">
        <x:v>中国台湾</x:v>
      </x:c>
      <x:c r="B21" s="71" t="str">
        <x:v>第1组</x:v>
      </x:c>
      <x:c r="C21" s="71" t="str">
        <x:v>TWD</x:v>
      </x:c>
      <x:c r="D21" s="71" t="str">
        <x:v>检测包／5份</x:v>
      </x:c>
      <x:c r="E21" s="72" t="n">
        <x:v>109</x:v>
      </x:c>
      <x:c r="F21" s="71" t="str">
        <x:v>$109</x:v>
      </x:c>
      <x:c r="G21" s="71" t="str">
        <x:v>zh-TW</x:v>
      </x:c>
    </x:row>
    <x:row r="22" ht="27" customHeight="1">
      <x:c r="A22" s="71" t="str">
        <x:v>中国台湾</x:v>
      </x:c>
      <x:c r="B22" s="71" t="str">
        <x:v>第1组</x:v>
      </x:c>
      <x:c r="C22" s="71" t="str">
        <x:v>TWD</x:v>
      </x:c>
      <x:c r="D22" s="71" t="str">
        <x:v>Humanizer包／3份</x:v>
      </x:c>
      <x:c r="E22" s="72" t="n">
        <x:v>149</x:v>
      </x:c>
      <x:c r="F22" s="71" t="str">
        <x:v>$149</x:v>
      </x:c>
      <x:c r="G22" s="71" t="str">
        <x:v>zh-TW</x:v>
      </x:c>
    </x:row>
    <x:row r="23" ht="27" customHeight="1">
      <x:c r="A23" s="71" t="str">
        <x:v>中国台湾</x:v>
      </x:c>
      <x:c r="B23" s="71" t="str">
        <x:v>第1组</x:v>
      </x:c>
      <x:c r="C23" s="71" t="str">
        <x:v>TWD</x:v>
      </x:c>
      <x:c r="D23" s="71" t="str">
        <x:v>Study Pass／月</x:v>
      </x:c>
      <x:c r="E23" s="72" t="n">
        <x:v>21</x:v>
      </x:c>
      <x:c r="F23" s="71" t="str">
        <x:v>$21</x:v>
      </x:c>
      <x:c r="G23" s="71" t="str">
        <x:v>zh-TW</x:v>
      </x:c>
    </x:row>
    <x:row r="24" ht="27" customHeight="1">
      <x:c r="A24" s="71" t="str">
        <x:v>印度尼西亚</x:v>
      </x:c>
      <x:c r="B24" s="71" t="str">
        <x:v>第1组</x:v>
      </x:c>
      <x:c r="C24" s="71" t="str">
        <x:v>IDR</x:v>
      </x:c>
      <x:c r="D24" s="71" t="str">
        <x:v>Trial／7天</x:v>
      </x:c>
      <x:c r="E24" s="72" t="n">
        <x:v>14000</x:v>
      </x:c>
      <x:c r="F24" s="71" t="str">
        <x:v>Rp 14.000</x:v>
      </x:c>
      <x:c r="G24" s="71" t="str">
        <x:v>id-ID</x:v>
      </x:c>
    </x:row>
    <x:row r="25" ht="27" customHeight="1">
      <x:c r="A25" s="71" t="str">
        <x:v>印度尼西亚</x:v>
      </x:c>
      <x:c r="B25" s="71" t="str">
        <x:v>第1组</x:v>
      </x:c>
      <x:c r="C25" s="71" t="str">
        <x:v>IDR</x:v>
      </x:c>
      <x:c r="D25" s="71" t="str">
        <x:v>Basic／月</x:v>
      </x:c>
      <x:c r="E25" s="72" t="n">
        <x:v>90000</x:v>
      </x:c>
      <x:c r="F25" s="71" t="str">
        <x:v>Rp 90.000</x:v>
      </x:c>
      <x:c r="G25" s="71" t="str">
        <x:v>id-ID</x:v>
      </x:c>
    </x:row>
    <x:row r="26" ht="27" customHeight="1">
      <x:c r="A26" s="71" t="str">
        <x:v>印度尼西亚</x:v>
      </x:c>
      <x:c r="B26" s="71" t="str">
        <x:v>第1组</x:v>
      </x:c>
      <x:c r="C26" s="71" t="str">
        <x:v>IDR</x:v>
      </x:c>
      <x:c r="D26" s="71" t="str">
        <x:v>Plus／月</x:v>
      </x:c>
      <x:c r="E26" s="72" t="n">
        <x:v>179000</x:v>
      </x:c>
      <x:c r="F26" s="71" t="str">
        <x:v>Rp 179.000</x:v>
      </x:c>
      <x:c r="G26" s="71" t="str">
        <x:v>id-ID</x:v>
      </x:c>
    </x:row>
    <x:row r="27" ht="27" customHeight="1">
      <x:c r="A27" s="71" t="str">
        <x:v>印度尼西亚</x:v>
      </x:c>
      <x:c r="B27" s="71" t="str">
        <x:v>第1组</x:v>
      </x:c>
      <x:c r="C27" s="71" t="str">
        <x:v>IDR</x:v>
      </x:c>
      <x:c r="D27" s="71" t="str">
        <x:v>新Pro／月</x:v>
      </x:c>
      <x:c r="E27" s="72" t="n">
        <x:v>139000</x:v>
      </x:c>
      <x:c r="F27" s="71" t="str">
        <x:v>Rp 139.000</x:v>
      </x:c>
      <x:c r="G27" s="71" t="str">
        <x:v>id-ID</x:v>
      </x:c>
    </x:row>
    <x:row r="28" ht="27" customHeight="1">
      <x:c r="A28" s="71" t="str">
        <x:v>印度尼西亚</x:v>
      </x:c>
      <x:c r="B28" s="71" t="str">
        <x:v>第1组</x:v>
      </x:c>
      <x:c r="C28" s="71" t="str">
        <x:v>IDR</x:v>
      </x:c>
      <x:c r="D28" s="71" t="str">
        <x:v>Basic／年</x:v>
      </x:c>
      <x:c r="E28" s="72" t="n">
        <x:v>429000</x:v>
      </x:c>
      <x:c r="F28" s="71" t="str">
        <x:v>Rp 429.000</x:v>
      </x:c>
      <x:c r="G28" s="71" t="str">
        <x:v>id-ID</x:v>
      </x:c>
    </x:row>
    <x:row r="29" ht="27" customHeight="1">
      <x:c r="A29" s="71" t="str">
        <x:v>印度尼西亚</x:v>
      </x:c>
      <x:c r="B29" s="71" t="str">
        <x:v>第1组</x:v>
      </x:c>
      <x:c r="C29" s="71" t="str">
        <x:v>IDR</x:v>
      </x:c>
      <x:c r="D29" s="71" t="str">
        <x:v>Plus／年</x:v>
      </x:c>
      <x:c r="E29" s="72" t="n">
        <x:v>869000</x:v>
      </x:c>
      <x:c r="F29" s="71" t="str">
        <x:v>Rp 869.000</x:v>
      </x:c>
      <x:c r="G29" s="71" t="str">
        <x:v>id-ID</x:v>
      </x:c>
    </x:row>
    <x:row r="30" ht="27" customHeight="1">
      <x:c r="A30" s="71" t="str">
        <x:v>印度尼西亚</x:v>
      </x:c>
      <x:c r="B30" s="71" t="str">
        <x:v>第1组</x:v>
      </x:c>
      <x:c r="C30" s="71" t="str">
        <x:v>IDR</x:v>
      </x:c>
      <x:c r="D30" s="71" t="str">
        <x:v>新Pro／年</x:v>
      </x:c>
      <x:c r="E30" s="72" t="n">
        <x:v>1668000</x:v>
      </x:c>
      <x:c r="F30" s="71" t="str">
        <x:v>Rp 1.668.000</x:v>
      </x:c>
      <x:c r="G30" s="71" t="str">
        <x:v>id-ID</x:v>
      </x:c>
    </x:row>
    <x:row r="31" ht="27" customHeight="1">
      <x:c r="A31" s="71" t="str">
        <x:v>印度尼西亚</x:v>
      </x:c>
      <x:c r="B31" s="71" t="str">
        <x:v>第1组</x:v>
      </x:c>
      <x:c r="C31" s="71" t="str">
        <x:v>IDR</x:v>
      </x:c>
      <x:c r="D31" s="71" t="str">
        <x:v>作业包／3份</x:v>
      </x:c>
      <x:c r="E31" s="72" t="n">
        <x:v>45000</x:v>
      </x:c>
      <x:c r="F31" s="71" t="str">
        <x:v>Rp 45.000</x:v>
      </x:c>
      <x:c r="G31" s="71" t="str">
        <x:v>id-ID</x:v>
      </x:c>
    </x:row>
    <x:row r="32" ht="27" customHeight="1">
      <x:c r="A32" s="71" t="str">
        <x:v>印度尼西亚</x:v>
      </x:c>
      <x:c r="B32" s="71" t="str">
        <x:v>第1组</x:v>
      </x:c>
      <x:c r="C32" s="71" t="str">
        <x:v>IDR</x:v>
      </x:c>
      <x:c r="D32" s="71" t="str">
        <x:v>检测包／5份</x:v>
      </x:c>
      <x:c r="E32" s="72" t="n">
        <x:v>23000</x:v>
      </x:c>
      <x:c r="F32" s="71" t="str">
        <x:v>Rp 23.000</x:v>
      </x:c>
      <x:c r="G32" s="71" t="str">
        <x:v>id-ID</x:v>
      </x:c>
    </x:row>
    <x:row r="33" ht="27" customHeight="1">
      <x:c r="A33" s="71" t="str">
        <x:v>印度尼西亚</x:v>
      </x:c>
      <x:c r="B33" s="71" t="str">
        <x:v>第1组</x:v>
      </x:c>
      <x:c r="C33" s="71" t="str">
        <x:v>IDR</x:v>
      </x:c>
      <x:c r="D33" s="71" t="str">
        <x:v>Humanizer包／3份</x:v>
      </x:c>
      <x:c r="E33" s="72" t="n">
        <x:v>32000</x:v>
      </x:c>
      <x:c r="F33" s="71" t="str">
        <x:v>Rp 32.000</x:v>
      </x:c>
      <x:c r="G33" s="71" t="str">
        <x:v>id-ID</x:v>
      </x:c>
    </x:row>
    <x:row r="34" ht="27" customHeight="1">
      <x:c r="A34" s="71" t="str">
        <x:v>印度尼西亚</x:v>
      </x:c>
      <x:c r="B34" s="71" t="str">
        <x:v>第1组</x:v>
      </x:c>
      <x:c r="C34" s="71" t="str">
        <x:v>IDR</x:v>
      </x:c>
      <x:c r="D34" s="71" t="str">
        <x:v>Study Pass／月</x:v>
      </x:c>
      <x:c r="E34" s="72" t="n">
        <x:v>10800</x:v>
      </x:c>
      <x:c r="F34" s="71" t="str">
        <x:v>Rp 10.800</x:v>
      </x:c>
      <x:c r="G34" s="71" t="str">
        <x:v>id-ID</x:v>
      </x:c>
    </x:row>
    <x:row r="35" ht="27" customHeight="1">
      <x:c r="A35" s="71" t="str">
        <x:v>土耳其</x:v>
      </x:c>
      <x:c r="B35" s="71" t="str">
        <x:v>第1组</x:v>
      </x:c>
      <x:c r="C35" s="71" t="str">
        <x:v>TRY</x:v>
      </x:c>
      <x:c r="D35" s="71" t="str">
        <x:v>Trial／7天</x:v>
      </x:c>
      <x:c r="E35" s="72" t="n">
        <x:v>59</x:v>
      </x:c>
      <x:c r="F35" s="71" t="str">
        <x:v>₺59</x:v>
      </x:c>
      <x:c r="G35" s="71" t="str">
        <x:v>tr-TR</x:v>
      </x:c>
    </x:row>
    <x:row r="36" ht="27" customHeight="1">
      <x:c r="A36" s="71" t="str">
        <x:v>土耳其</x:v>
      </x:c>
      <x:c r="B36" s="71" t="str">
        <x:v>第1组</x:v>
      </x:c>
      <x:c r="C36" s="71" t="str">
        <x:v>TRY</x:v>
      </x:c>
      <x:c r="D36" s="71" t="str">
        <x:v>Basic／月</x:v>
      </x:c>
      <x:c r="E36" s="72" t="n">
        <x:v>399</x:v>
      </x:c>
      <x:c r="F36" s="71" t="str">
        <x:v>₺399</x:v>
      </x:c>
      <x:c r="G36" s="71" t="str">
        <x:v>tr-TR</x:v>
      </x:c>
    </x:row>
    <x:row r="37" ht="27" customHeight="1">
      <x:c r="A37" s="71" t="str">
        <x:v>土耳其</x:v>
      </x:c>
      <x:c r="B37" s="71" t="str">
        <x:v>第1组</x:v>
      </x:c>
      <x:c r="C37" s="71" t="str">
        <x:v>TRY</x:v>
      </x:c>
      <x:c r="D37" s="71" t="str">
        <x:v>Plus／月</x:v>
      </x:c>
      <x:c r="E37" s="72" t="n">
        <x:v>789</x:v>
      </x:c>
      <x:c r="F37" s="71" t="str">
        <x:v>₺789</x:v>
      </x:c>
      <x:c r="G37" s="71" t="str">
        <x:v>tr-TR</x:v>
      </x:c>
    </x:row>
    <x:row r="38" ht="27" customHeight="1">
      <x:c r="A38" s="71" t="str">
        <x:v>土耳其</x:v>
      </x:c>
      <x:c r="B38" s="71" t="str">
        <x:v>第1组</x:v>
      </x:c>
      <x:c r="C38" s="71" t="str">
        <x:v>TRY</x:v>
      </x:c>
      <x:c r="D38" s="71" t="str">
        <x:v>新Pro／月</x:v>
      </x:c>
      <x:c r="E38" s="72" t="n">
        <x:v>599</x:v>
      </x:c>
      <x:c r="F38" s="71" t="str">
        <x:v>₺599</x:v>
      </x:c>
      <x:c r="G38" s="71" t="str">
        <x:v>tr-TR</x:v>
      </x:c>
    </x:row>
    <x:row r="39" ht="27" customHeight="1">
      <x:c r="A39" s="71" t="str">
        <x:v>土耳其</x:v>
      </x:c>
      <x:c r="B39" s="71" t="str">
        <x:v>第1组</x:v>
      </x:c>
      <x:c r="C39" s="71" t="str">
        <x:v>TRY</x:v>
      </x:c>
      <x:c r="D39" s="71" t="str">
        <x:v>Basic／年</x:v>
      </x:c>
      <x:c r="E39" s="72" t="n">
        <x:v>1899</x:v>
      </x:c>
      <x:c r="F39" s="71" t="str">
        <x:v>₺1.899</x:v>
      </x:c>
      <x:c r="G39" s="71" t="str">
        <x:v>tr-TR</x:v>
      </x:c>
    </x:row>
    <x:row r="40" ht="27" customHeight="1">
      <x:c r="A40" s="71" t="str">
        <x:v>土耳其</x:v>
      </x:c>
      <x:c r="B40" s="71" t="str">
        <x:v>第1组</x:v>
      </x:c>
      <x:c r="C40" s="71" t="str">
        <x:v>TRY</x:v>
      </x:c>
      <x:c r="D40" s="71" t="str">
        <x:v>Plus／年</x:v>
      </x:c>
      <x:c r="E40" s="72" t="n">
        <x:v>3799</x:v>
      </x:c>
      <x:c r="F40" s="71" t="str">
        <x:v>₺3.799</x:v>
      </x:c>
      <x:c r="G40" s="71" t="str">
        <x:v>tr-TR</x:v>
      </x:c>
    </x:row>
    <x:row r="41" ht="27" customHeight="1">
      <x:c r="A41" s="71" t="str">
        <x:v>土耳其</x:v>
      </x:c>
      <x:c r="B41" s="71" t="str">
        <x:v>第1组</x:v>
      </x:c>
      <x:c r="C41" s="71" t="str">
        <x:v>TRY</x:v>
      </x:c>
      <x:c r="D41" s="71" t="str">
        <x:v>新Pro／年</x:v>
      </x:c>
      <x:c r="E41" s="72" t="n">
        <x:v>7188</x:v>
      </x:c>
      <x:c r="F41" s="71" t="str">
        <x:v>₺7.188</x:v>
      </x:c>
      <x:c r="G41" s="71" t="str">
        <x:v>tr-TR</x:v>
      </x:c>
    </x:row>
    <x:row r="42" ht="27" customHeight="1">
      <x:c r="A42" s="71" t="str">
        <x:v>土耳其</x:v>
      </x:c>
      <x:c r="B42" s="71" t="str">
        <x:v>第1组</x:v>
      </x:c>
      <x:c r="C42" s="71" t="str">
        <x:v>TRY</x:v>
      </x:c>
      <x:c r="D42" s="71" t="str">
        <x:v>作业包／3份</x:v>
      </x:c>
      <x:c r="E42" s="72" t="n">
        <x:v>199</x:v>
      </x:c>
      <x:c r="F42" s="71" t="str">
        <x:v>₺199</x:v>
      </x:c>
      <x:c r="G42" s="71" t="str">
        <x:v>tr-TR</x:v>
      </x:c>
    </x:row>
    <x:row r="43" ht="27" customHeight="1">
      <x:c r="A43" s="71" t="str">
        <x:v>土耳其</x:v>
      </x:c>
      <x:c r="B43" s="71" t="str">
        <x:v>第1组</x:v>
      </x:c>
      <x:c r="C43" s="71" t="str">
        <x:v>TRY</x:v>
      </x:c>
      <x:c r="D43" s="71" t="str">
        <x:v>检测包／5份</x:v>
      </x:c>
      <x:c r="E43" s="72" t="n">
        <x:v>99</x:v>
      </x:c>
      <x:c r="F43" s="71" t="str">
        <x:v>₺99</x:v>
      </x:c>
      <x:c r="G43" s="71" t="str">
        <x:v>tr-TR</x:v>
      </x:c>
    </x:row>
    <x:row r="44" ht="27" customHeight="1">
      <x:c r="A44" s="71" t="str">
        <x:v>土耳其</x:v>
      </x:c>
      <x:c r="B44" s="71" t="str">
        <x:v>第1组</x:v>
      </x:c>
      <x:c r="C44" s="71" t="str">
        <x:v>TRY</x:v>
      </x:c>
      <x:c r="D44" s="71" t="str">
        <x:v>Humanizer包／3份</x:v>
      </x:c>
      <x:c r="E44" s="72" t="n">
        <x:v>139</x:v>
      </x:c>
      <x:c r="F44" s="71" t="str">
        <x:v>₺139</x:v>
      </x:c>
      <x:c r="G44" s="71" t="str">
        <x:v>tr-TR</x:v>
      </x:c>
    </x:row>
    <x:row r="45" ht="27" customHeight="1">
      <x:c r="A45" s="71" t="str">
        <x:v>土耳其</x:v>
      </x:c>
      <x:c r="B45" s="71" t="str">
        <x:v>第1组</x:v>
      </x:c>
      <x:c r="C45" s="71" t="str">
        <x:v>TRY</x:v>
      </x:c>
      <x:c r="D45" s="71" t="str">
        <x:v>Study Pass／月</x:v>
      </x:c>
      <x:c r="E45" s="72" t="n">
        <x:v>30</x:v>
      </x:c>
      <x:c r="F45" s="71" t="str">
        <x:v>₺30</x:v>
      </x:c>
      <x:c r="G45" s="71" t="str">
        <x:v>tr-TR</x:v>
      </x:c>
    </x:row>
    <x:row r="46" ht="27" customHeight="1">
      <x:c r="A46" s="71" t="str">
        <x:v>韩国</x:v>
      </x:c>
      <x:c r="B46" s="71" t="str">
        <x:v>第1组</x:v>
      </x:c>
      <x:c r="C46" s="71" t="str">
        <x:v>KRW</x:v>
      </x:c>
      <x:c r="D46" s="71" t="str">
        <x:v>Trial／7天</x:v>
      </x:c>
      <x:c r="E46" s="72" t="n">
        <x:v>2490</x:v>
      </x:c>
      <x:c r="F46" s="71" t="str">
        <x:v>₩2,490</x:v>
      </x:c>
      <x:c r="G46" s="71" t="str">
        <x:v>ko-KR</x:v>
      </x:c>
    </x:row>
    <x:row r="47" ht="27" customHeight="1">
      <x:c r="A47" s="71" t="str">
        <x:v>韩国</x:v>
      </x:c>
      <x:c r="B47" s="71" t="str">
        <x:v>第1组</x:v>
      </x:c>
      <x:c r="C47" s="71" t="str">
        <x:v>KRW</x:v>
      </x:c>
      <x:c r="D47" s="71" t="str">
        <x:v>Basic／月</x:v>
      </x:c>
      <x:c r="E47" s="72" t="n">
        <x:v>16900</x:v>
      </x:c>
      <x:c r="F47" s="71" t="str">
        <x:v>₩16,900</x:v>
      </x:c>
      <x:c r="G47" s="71" t="str">
        <x:v>ko-KR</x:v>
      </x:c>
    </x:row>
    <x:row r="48" ht="27" customHeight="1">
      <x:c r="A48" s="71" t="str">
        <x:v>韩国</x:v>
      </x:c>
      <x:c r="B48" s="71" t="str">
        <x:v>第1组</x:v>
      </x:c>
      <x:c r="C48" s="71" t="str">
        <x:v>KRW</x:v>
      </x:c>
      <x:c r="D48" s="71" t="str">
        <x:v>Plus／月</x:v>
      </x:c>
      <x:c r="E48" s="72" t="n">
        <x:v>34900</x:v>
      </x:c>
      <x:c r="F48" s="71" t="str">
        <x:v>₩34,900</x:v>
      </x:c>
      <x:c r="G48" s="71" t="str">
        <x:v>ko-KR</x:v>
      </x:c>
    </x:row>
    <x:row r="49" ht="27" customHeight="1">
      <x:c r="A49" s="71" t="str">
        <x:v>韩国</x:v>
      </x:c>
      <x:c r="B49" s="71" t="str">
        <x:v>第1组</x:v>
      </x:c>
      <x:c r="C49" s="71" t="str">
        <x:v>KRW</x:v>
      </x:c>
      <x:c r="D49" s="71" t="str">
        <x:v>新Pro／月</x:v>
      </x:c>
      <x:c r="E49" s="72" t="n">
        <x:v>25900</x:v>
      </x:c>
      <x:c r="F49" s="71" t="str">
        <x:v>₩25,900</x:v>
      </x:c>
      <x:c r="G49" s="71" t="str">
        <x:v>ko-KR</x:v>
      </x:c>
    </x:row>
    <x:row r="50" ht="27" customHeight="1">
      <x:c r="A50" s="71" t="str">
        <x:v>韩国</x:v>
      </x:c>
      <x:c r="B50" s="71" t="str">
        <x:v>第1组</x:v>
      </x:c>
      <x:c r="C50" s="71" t="str">
        <x:v>KRW</x:v>
      </x:c>
      <x:c r="D50" s="71" t="str">
        <x:v>Basic／年</x:v>
      </x:c>
      <x:c r="E50" s="72" t="n">
        <x:v>80900</x:v>
      </x:c>
      <x:c r="F50" s="71" t="str">
        <x:v>₩80,900</x:v>
      </x:c>
      <x:c r="G50" s="71" t="str">
        <x:v>ko-KR</x:v>
      </x:c>
    </x:row>
    <x:row r="51" ht="27" customHeight="1">
      <x:c r="A51" s="71" t="str">
        <x:v>韩国</x:v>
      </x:c>
      <x:c r="B51" s="71" t="str">
        <x:v>第1组</x:v>
      </x:c>
      <x:c r="C51" s="71" t="str">
        <x:v>KRW</x:v>
      </x:c>
      <x:c r="D51" s="71" t="str">
        <x:v>Plus／年</x:v>
      </x:c>
      <x:c r="E51" s="72" t="n">
        <x:v>166900</x:v>
      </x:c>
      <x:c r="F51" s="71" t="str">
        <x:v>₩166,900</x:v>
      </x:c>
      <x:c r="G51" s="71" t="str">
        <x:v>ko-KR</x:v>
      </x:c>
    </x:row>
    <x:row r="52" ht="27" customHeight="1">
      <x:c r="A52" s="71" t="str">
        <x:v>韩国</x:v>
      </x:c>
      <x:c r="B52" s="71" t="str">
        <x:v>第1组</x:v>
      </x:c>
      <x:c r="C52" s="71" t="str">
        <x:v>KRW</x:v>
      </x:c>
      <x:c r="D52" s="71" t="str">
        <x:v>新Pro／年</x:v>
      </x:c>
      <x:c r="E52" s="72" t="n">
        <x:v>310800</x:v>
      </x:c>
      <x:c r="F52" s="71" t="str">
        <x:v>₩310,800</x:v>
      </x:c>
      <x:c r="G52" s="71" t="str">
        <x:v>ko-KR</x:v>
      </x:c>
    </x:row>
    <x:row r="53" ht="27" customHeight="1">
      <x:c r="A53" s="71" t="str">
        <x:v>韩国</x:v>
      </x:c>
      <x:c r="B53" s="71" t="str">
        <x:v>第1组</x:v>
      </x:c>
      <x:c r="C53" s="71" t="str">
        <x:v>KRW</x:v>
      </x:c>
      <x:c r="D53" s="71" t="str">
        <x:v>作业包／3份</x:v>
      </x:c>
      <x:c r="E53" s="72" t="n">
        <x:v>8690</x:v>
      </x:c>
      <x:c r="F53" s="71" t="str">
        <x:v>₩8,690</x:v>
      </x:c>
      <x:c r="G53" s="71" t="str">
        <x:v>ko-KR</x:v>
      </x:c>
    </x:row>
    <x:row r="54" ht="27" customHeight="1">
      <x:c r="A54" s="71" t="str">
        <x:v>韩国</x:v>
      </x:c>
      <x:c r="B54" s="71" t="str">
        <x:v>第1组</x:v>
      </x:c>
      <x:c r="C54" s="71" t="str">
        <x:v>KRW</x:v>
      </x:c>
      <x:c r="D54" s="71" t="str">
        <x:v>检测包／5份</x:v>
      </x:c>
      <x:c r="E54" s="72" t="n">
        <x:v>4290</x:v>
      </x:c>
      <x:c r="F54" s="71" t="str">
        <x:v>₩4,290</x:v>
      </x:c>
      <x:c r="G54" s="71" t="str">
        <x:v>ko-KR</x:v>
      </x:c>
    </x:row>
    <x:row r="55" ht="27" customHeight="1">
      <x:c r="A55" s="71" t="str">
        <x:v>韩国</x:v>
      </x:c>
      <x:c r="B55" s="71" t="str">
        <x:v>第1组</x:v>
      </x:c>
      <x:c r="C55" s="71" t="str">
        <x:v>KRW</x:v>
      </x:c>
      <x:c r="D55" s="71" t="str">
        <x:v>Humanizer包／3份</x:v>
      </x:c>
      <x:c r="E55" s="72" t="n">
        <x:v>5990</x:v>
      </x:c>
      <x:c r="F55" s="71" t="str">
        <x:v>₩5,990</x:v>
      </x:c>
      <x:c r="G55" s="71" t="str">
        <x:v>ko-KR</x:v>
      </x:c>
    </x:row>
    <x:row r="56" ht="27" customHeight="1">
      <x:c r="A56" s="71" t="str">
        <x:v>韩国</x:v>
      </x:c>
      <x:c r="B56" s="71" t="str">
        <x:v>第1组</x:v>
      </x:c>
      <x:c r="C56" s="71" t="str">
        <x:v>KRW</x:v>
      </x:c>
      <x:c r="D56" s="71" t="str">
        <x:v>Study Pass／月</x:v>
      </x:c>
      <x:c r="E56" s="72" t="n">
        <x:v>840</x:v>
      </x:c>
      <x:c r="F56" s="71" t="str">
        <x:v>₩840</x:v>
      </x:c>
      <x:c r="G56" s="71" t="str">
        <x:v>ko-KR</x:v>
      </x:c>
    </x:row>
    <x:row r="57" ht="27" customHeight="1">
      <x:c r="A57" s="71" t="str">
        <x:v>德国</x:v>
      </x:c>
      <x:c r="B57" s="71" t="str">
        <x:v>第1组</x:v>
      </x:c>
      <x:c r="C57" s="71" t="str">
        <x:v>EUR</x:v>
      </x:c>
      <x:c r="D57" s="71" t="str">
        <x:v>Trial／7天</x:v>
      </x:c>
      <x:c r="E57" s="73" t="n">
        <x:v>1.99</x:v>
      </x:c>
      <x:c r="F57" s="71" t="str">
        <x:v>1,99 €</x:v>
      </x:c>
      <x:c r="G57" s="71" t="str">
        <x:v>de-DE</x:v>
      </x:c>
    </x:row>
    <x:row r="58" ht="27" customHeight="1">
      <x:c r="A58" s="71" t="str">
        <x:v>德国</x:v>
      </x:c>
      <x:c r="B58" s="71" t="str">
        <x:v>第1组</x:v>
      </x:c>
      <x:c r="C58" s="71" t="str">
        <x:v>EUR</x:v>
      </x:c>
      <x:c r="D58" s="71" t="str">
        <x:v>Basic／月</x:v>
      </x:c>
      <x:c r="E58" s="73" t="n">
        <x:v>13.99</x:v>
      </x:c>
      <x:c r="F58" s="71" t="str">
        <x:v>13,99 €</x:v>
      </x:c>
      <x:c r="G58" s="71" t="str">
        <x:v>de-DE</x:v>
      </x:c>
    </x:row>
    <x:row r="59" ht="27" customHeight="1">
      <x:c r="A59" s="71" t="str">
        <x:v>德国</x:v>
      </x:c>
      <x:c r="B59" s="71" t="str">
        <x:v>第1组</x:v>
      </x:c>
      <x:c r="C59" s="71" t="str">
        <x:v>EUR</x:v>
      </x:c>
      <x:c r="D59" s="71" t="str">
        <x:v>Plus／月</x:v>
      </x:c>
      <x:c r="E59" s="73" t="n">
        <x:v>27.99</x:v>
      </x:c>
      <x:c r="F59" s="71" t="str">
        <x:v>27,99 €</x:v>
      </x:c>
      <x:c r="G59" s="71" t="str">
        <x:v>de-DE</x:v>
      </x:c>
    </x:row>
    <x:row r="60" ht="27" customHeight="1">
      <x:c r="A60" s="71" t="str">
        <x:v>德国</x:v>
      </x:c>
      <x:c r="B60" s="71" t="str">
        <x:v>第1组</x:v>
      </x:c>
      <x:c r="C60" s="71" t="str">
        <x:v>EUR</x:v>
      </x:c>
      <x:c r="D60" s="71" t="str">
        <x:v>新Pro／月</x:v>
      </x:c>
      <x:c r="E60" s="73" t="n">
        <x:v>20.99</x:v>
      </x:c>
      <x:c r="F60" s="71" t="str">
        <x:v>20,99 €</x:v>
      </x:c>
      <x:c r="G60" s="71" t="str">
        <x:v>de-DE</x:v>
      </x:c>
    </x:row>
    <x:row r="61" ht="27" customHeight="1">
      <x:c r="A61" s="71" t="str">
        <x:v>德国</x:v>
      </x:c>
      <x:c r="B61" s="71" t="str">
        <x:v>第1组</x:v>
      </x:c>
      <x:c r="C61" s="71" t="str">
        <x:v>EUR</x:v>
      </x:c>
      <x:c r="D61" s="71" t="str">
        <x:v>Basic／年</x:v>
      </x:c>
      <x:c r="E61" s="73" t="n">
        <x:v>67.99</x:v>
      </x:c>
      <x:c r="F61" s="71" t="str">
        <x:v>67,99 €</x:v>
      </x:c>
      <x:c r="G61" s="71" t="str">
        <x:v>de-DE</x:v>
      </x:c>
    </x:row>
    <x:row r="62" ht="27" customHeight="1">
      <x:c r="A62" s="71" t="str">
        <x:v>德国</x:v>
      </x:c>
      <x:c r="B62" s="71" t="str">
        <x:v>第1组</x:v>
      </x:c>
      <x:c r="C62" s="71" t="str">
        <x:v>EUR</x:v>
      </x:c>
      <x:c r="D62" s="71" t="str">
        <x:v>Plus／年</x:v>
      </x:c>
      <x:c r="E62" s="73" t="n">
        <x:v>136.99</x:v>
      </x:c>
      <x:c r="F62" s="71" t="str">
        <x:v>136,99 €</x:v>
      </x:c>
      <x:c r="G62" s="71" t="str">
        <x:v>de-DE</x:v>
      </x:c>
    </x:row>
    <x:row r="63" ht="27" customHeight="1">
      <x:c r="A63" s="71" t="str">
        <x:v>德国</x:v>
      </x:c>
      <x:c r="B63" s="71" t="str">
        <x:v>第1组</x:v>
      </x:c>
      <x:c r="C63" s="71" t="str">
        <x:v>EUR</x:v>
      </x:c>
      <x:c r="D63" s="71" t="str">
        <x:v>新Pro／年</x:v>
      </x:c>
      <x:c r="E63" s="73" t="n">
        <x:v>251.88</x:v>
      </x:c>
      <x:c r="F63" s="71" t="str">
        <x:v>251,88 €</x:v>
      </x:c>
      <x:c r="G63" s="71" t="str">
        <x:v>de-DE</x:v>
      </x:c>
    </x:row>
    <x:row r="64" ht="27" customHeight="1">
      <x:c r="A64" s="71" t="str">
        <x:v>德国</x:v>
      </x:c>
      <x:c r="B64" s="71" t="str">
        <x:v>第1组</x:v>
      </x:c>
      <x:c r="C64" s="71" t="str">
        <x:v>EUR</x:v>
      </x:c>
      <x:c r="D64" s="71" t="str">
        <x:v>作业包／3份</x:v>
      </x:c>
      <x:c r="E64" s="73" t="n">
        <x:v>6.99</x:v>
      </x:c>
      <x:c r="F64" s="71" t="str">
        <x:v>6,99 €</x:v>
      </x:c>
      <x:c r="G64" s="71" t="str">
        <x:v>de-DE</x:v>
      </x:c>
    </x:row>
    <x:row r="65" ht="27" customHeight="1">
      <x:c r="A65" s="71" t="str">
        <x:v>德国</x:v>
      </x:c>
      <x:c r="B65" s="71" t="str">
        <x:v>第1组</x:v>
      </x:c>
      <x:c r="C65" s="71" t="str">
        <x:v>EUR</x:v>
      </x:c>
      <x:c r="D65" s="71" t="str">
        <x:v>检测包／5份</x:v>
      </x:c>
      <x:c r="E65" s="73" t="n">
        <x:v>3.49</x:v>
      </x:c>
      <x:c r="F65" s="71" t="str">
        <x:v>3,49 €</x:v>
      </x:c>
      <x:c r="G65" s="71" t="str">
        <x:v>de-DE</x:v>
      </x:c>
    </x:row>
    <x:row r="66" ht="27" customHeight="1">
      <x:c r="A66" s="71" t="str">
        <x:v>德国</x:v>
      </x:c>
      <x:c r="B66" s="71" t="str">
        <x:v>第1组</x:v>
      </x:c>
      <x:c r="C66" s="71" t="str">
        <x:v>EUR</x:v>
      </x:c>
      <x:c r="D66" s="71" t="str">
        <x:v>Humanizer包／3份</x:v>
      </x:c>
      <x:c r="E66" s="73" t="n">
        <x:v>4.99</x:v>
      </x:c>
      <x:c r="F66" s="71" t="str">
        <x:v>4,99 €</x:v>
      </x:c>
      <x:c r="G66" s="71" t="str">
        <x:v>de-DE</x:v>
      </x:c>
    </x:row>
    <x:row r="67" ht="27" customHeight="1">
      <x:c r="A67" s="71" t="str">
        <x:v>德国</x:v>
      </x:c>
      <x:c r="B67" s="71" t="str">
        <x:v>第1组</x:v>
      </x:c>
      <x:c r="C67" s="71" t="str">
        <x:v>EUR</x:v>
      </x:c>
      <x:c r="D67" s="71" t="str">
        <x:v>Study Pass／月</x:v>
      </x:c>
      <x:c r="E67" s="73" t="n">
        <x:v>0.7</x:v>
      </x:c>
      <x:c r="F67" s="71" t="str">
        <x:v>0,70 €</x:v>
      </x:c>
      <x:c r="G67" s="71" t="str">
        <x:v>de-DE</x:v>
      </x:c>
    </x:row>
    <x:row r="68" ht="27" customHeight="1">
      <x:c r="A68" s="71" t="str">
        <x:v>意大利</x:v>
      </x:c>
      <x:c r="B68" s="71" t="str">
        <x:v>第1组</x:v>
      </x:c>
      <x:c r="C68" s="71" t="str">
        <x:v>EUR</x:v>
      </x:c>
      <x:c r="D68" s="71" t="str">
        <x:v>Trial／7天</x:v>
      </x:c>
      <x:c r="E68" s="73" t="n">
        <x:v>1.99</x:v>
      </x:c>
      <x:c r="F68" s="71" t="str">
        <x:v>1,99 €</x:v>
      </x:c>
      <x:c r="G68" s="71" t="str">
        <x:v>it-IT</x:v>
      </x:c>
    </x:row>
    <x:row r="69" ht="27" customHeight="1">
      <x:c r="A69" s="71" t="str">
        <x:v>意大利</x:v>
      </x:c>
      <x:c r="B69" s="71" t="str">
        <x:v>第1组</x:v>
      </x:c>
      <x:c r="C69" s="71" t="str">
        <x:v>EUR</x:v>
      </x:c>
      <x:c r="D69" s="71" t="str">
        <x:v>Basic／月</x:v>
      </x:c>
      <x:c r="E69" s="73" t="n">
        <x:v>11.99</x:v>
      </x:c>
      <x:c r="F69" s="71" t="str">
        <x:v>11,99 €</x:v>
      </x:c>
      <x:c r="G69" s="71" t="str">
        <x:v>it-IT</x:v>
      </x:c>
    </x:row>
    <x:row r="70" ht="27" customHeight="1">
      <x:c r="A70" s="71" t="str">
        <x:v>意大利</x:v>
      </x:c>
      <x:c r="B70" s="71" t="str">
        <x:v>第1组</x:v>
      </x:c>
      <x:c r="C70" s="71" t="str">
        <x:v>EUR</x:v>
      </x:c>
      <x:c r="D70" s="71" t="str">
        <x:v>Plus／月</x:v>
      </x:c>
      <x:c r="E70" s="73" t="n">
        <x:v>24.99</x:v>
      </x:c>
      <x:c r="F70" s="71" t="str">
        <x:v>24,99 €</x:v>
      </x:c>
      <x:c r="G70" s="71" t="str">
        <x:v>it-IT</x:v>
      </x:c>
    </x:row>
    <x:row r="71" ht="27" customHeight="1">
      <x:c r="A71" s="71" t="str">
        <x:v>意大利</x:v>
      </x:c>
      <x:c r="B71" s="71" t="str">
        <x:v>第1组</x:v>
      </x:c>
      <x:c r="C71" s="71" t="str">
        <x:v>EUR</x:v>
      </x:c>
      <x:c r="D71" s="71" t="str">
        <x:v>新Pro／月</x:v>
      </x:c>
      <x:c r="E71" s="73" t="n">
        <x:v>18.99</x:v>
      </x:c>
      <x:c r="F71" s="71" t="str">
        <x:v>18,99 €</x:v>
      </x:c>
      <x:c r="G71" s="71" t="str">
        <x:v>it-IT</x:v>
      </x:c>
    </x:row>
    <x:row r="72" ht="27" customHeight="1">
      <x:c r="A72" s="71" t="str">
        <x:v>意大利</x:v>
      </x:c>
      <x:c r="B72" s="71" t="str">
        <x:v>第1组</x:v>
      </x:c>
      <x:c r="C72" s="71" t="str">
        <x:v>EUR</x:v>
      </x:c>
      <x:c r="D72" s="71" t="str">
        <x:v>Basic／年</x:v>
      </x:c>
      <x:c r="E72" s="73" t="n">
        <x:v>58.99</x:v>
      </x:c>
      <x:c r="F72" s="71" t="str">
        <x:v>58,99 €</x:v>
      </x:c>
      <x:c r="G72" s="71" t="str">
        <x:v>it-IT</x:v>
      </x:c>
    </x:row>
    <x:row r="73" ht="27" customHeight="1">
      <x:c r="A73" s="71" t="str">
        <x:v>意大利</x:v>
      </x:c>
      <x:c r="B73" s="71" t="str">
        <x:v>第1组</x:v>
      </x:c>
      <x:c r="C73" s="71" t="str">
        <x:v>EUR</x:v>
      </x:c>
      <x:c r="D73" s="71" t="str">
        <x:v>Plus／年</x:v>
      </x:c>
      <x:c r="E73" s="73" t="n">
        <x:v>118.99</x:v>
      </x:c>
      <x:c r="F73" s="71" t="str">
        <x:v>118,99 €</x:v>
      </x:c>
      <x:c r="G73" s="71" t="str">
        <x:v>it-IT</x:v>
      </x:c>
    </x:row>
    <x:row r="74" ht="27" customHeight="1">
      <x:c r="A74" s="71" t="str">
        <x:v>意大利</x:v>
      </x:c>
      <x:c r="B74" s="71" t="str">
        <x:v>第1组</x:v>
      </x:c>
      <x:c r="C74" s="71" t="str">
        <x:v>EUR</x:v>
      </x:c>
      <x:c r="D74" s="71" t="str">
        <x:v>新Pro／年</x:v>
      </x:c>
      <x:c r="E74" s="73" t="n">
        <x:v>227.88</x:v>
      </x:c>
      <x:c r="F74" s="71" t="str">
        <x:v>227,88 €</x:v>
      </x:c>
      <x:c r="G74" s="71" t="str">
        <x:v>it-IT</x:v>
      </x:c>
    </x:row>
    <x:row r="75" ht="27" customHeight="1">
      <x:c r="A75" s="71" t="str">
        <x:v>意大利</x:v>
      </x:c>
      <x:c r="B75" s="71" t="str">
        <x:v>第1组</x:v>
      </x:c>
      <x:c r="C75" s="71" t="str">
        <x:v>EUR</x:v>
      </x:c>
      <x:c r="D75" s="71" t="str">
        <x:v>作业包／3份</x:v>
      </x:c>
      <x:c r="E75" s="73" t="n">
        <x:v>5.99</x:v>
      </x:c>
      <x:c r="F75" s="71" t="str">
        <x:v>5,99 €</x:v>
      </x:c>
      <x:c r="G75" s="71" t="str">
        <x:v>it-IT</x:v>
      </x:c>
    </x:row>
    <x:row r="76" ht="27" customHeight="1">
      <x:c r="A76" s="71" t="str">
        <x:v>意大利</x:v>
      </x:c>
      <x:c r="B76" s="71" t="str">
        <x:v>第1组</x:v>
      </x:c>
      <x:c r="C76" s="71" t="str">
        <x:v>EUR</x:v>
      </x:c>
      <x:c r="D76" s="71" t="str">
        <x:v>检测包／5份</x:v>
      </x:c>
      <x:c r="E76" s="73" t="n">
        <x:v>2.99</x:v>
      </x:c>
      <x:c r="F76" s="71" t="str">
        <x:v>2,99 €</x:v>
      </x:c>
      <x:c r="G76" s="71" t="str">
        <x:v>it-IT</x:v>
      </x:c>
    </x:row>
    <x:row r="77" ht="27" customHeight="1">
      <x:c r="A77" s="71" t="str">
        <x:v>意大利</x:v>
      </x:c>
      <x:c r="B77" s="71" t="str">
        <x:v>第1组</x:v>
      </x:c>
      <x:c r="C77" s="71" t="str">
        <x:v>EUR</x:v>
      </x:c>
      <x:c r="D77" s="71" t="str">
        <x:v>Humanizer包／3份</x:v>
      </x:c>
      <x:c r="E77" s="73" t="n">
        <x:v>4.49</x:v>
      </x:c>
      <x:c r="F77" s="71" t="str">
        <x:v>4,49 €</x:v>
      </x:c>
      <x:c r="G77" s="71" t="str">
        <x:v>it-IT</x:v>
      </x:c>
    </x:row>
    <x:row r="78" ht="27" customHeight="1">
      <x:c r="A78" s="71" t="str">
        <x:v>意大利</x:v>
      </x:c>
      <x:c r="B78" s="71" t="str">
        <x:v>第1组</x:v>
      </x:c>
      <x:c r="C78" s="71" t="str">
        <x:v>EUR</x:v>
      </x:c>
      <x:c r="D78" s="71" t="str">
        <x:v>Study Pass／月</x:v>
      </x:c>
      <x:c r="E78" s="73" t="n">
        <x:v>0.61</x:v>
      </x:c>
      <x:c r="F78" s="71" t="str">
        <x:v>0,61 €</x:v>
      </x:c>
      <x:c r="G78" s="71" t="str">
        <x:v>it-IT</x:v>
      </x:c>
    </x:row>
    <x:row r="79" ht="27" customHeight="1">
      <x:c r="A79" s="71" t="str">
        <x:v>瑞典</x:v>
      </x:c>
      <x:c r="B79" s="71" t="str">
        <x:v>第1组</x:v>
      </x:c>
      <x:c r="C79" s="71" t="str">
        <x:v>SEK</x:v>
      </x:c>
      <x:c r="D79" s="71" t="str">
        <x:v>Trial／7天</x:v>
      </x:c>
      <x:c r="E79" s="72" t="n">
        <x:v>25</x:v>
      </x:c>
      <x:c r="F79" s="71" t="str">
        <x:v>25 kr</x:v>
      </x:c>
      <x:c r="G79" s="71" t="str">
        <x:v>sv-SE</x:v>
      </x:c>
    </x:row>
    <x:row r="80" ht="27" customHeight="1">
      <x:c r="A80" s="71" t="str">
        <x:v>瑞典</x:v>
      </x:c>
      <x:c r="B80" s="71" t="str">
        <x:v>第1组</x:v>
      </x:c>
      <x:c r="C80" s="71" t="str">
        <x:v>SEK</x:v>
      </x:c>
      <x:c r="D80" s="71" t="str">
        <x:v>Basic／月</x:v>
      </x:c>
      <x:c r="E80" s="72" t="n">
        <x:v>168</x:v>
      </x:c>
      <x:c r="F80" s="71" t="str">
        <x:v>168 kr</x:v>
      </x:c>
      <x:c r="G80" s="71" t="str">
        <x:v>sv-SE</x:v>
      </x:c>
    </x:row>
    <x:row r="81" ht="27" customHeight="1">
      <x:c r="A81" s="71" t="str">
        <x:v>瑞典</x:v>
      </x:c>
      <x:c r="B81" s="71" t="str">
        <x:v>第1组</x:v>
      </x:c>
      <x:c r="C81" s="71" t="str">
        <x:v>SEK</x:v>
      </x:c>
      <x:c r="D81" s="71" t="str">
        <x:v>Plus／月</x:v>
      </x:c>
      <x:c r="E81" s="72" t="n">
        <x:v>337</x:v>
      </x:c>
      <x:c r="F81" s="71" t="str">
        <x:v>337 kr</x:v>
      </x:c>
      <x:c r="G81" s="71" t="str">
        <x:v>sv-SE</x:v>
      </x:c>
    </x:row>
    <x:row r="82" ht="27" customHeight="1">
      <x:c r="A82" s="71" t="str">
        <x:v>瑞典</x:v>
      </x:c>
      <x:c r="B82" s="71" t="str">
        <x:v>第1组</x:v>
      </x:c>
      <x:c r="C82" s="71" t="str">
        <x:v>SEK</x:v>
      </x:c>
      <x:c r="D82" s="71" t="str">
        <x:v>新Pro／月</x:v>
      </x:c>
      <x:c r="E82" s="72" t="n">
        <x:v>253</x:v>
      </x:c>
      <x:c r="F82" s="71" t="str">
        <x:v>253 kr</x:v>
      </x:c>
      <x:c r="G82" s="71" t="str">
        <x:v>sv-SE</x:v>
      </x:c>
    </x:row>
    <x:row r="83" ht="27" customHeight="1">
      <x:c r="A83" s="71" t="str">
        <x:v>瑞典</x:v>
      </x:c>
      <x:c r="B83" s="71" t="str">
        <x:v>第1组</x:v>
      </x:c>
      <x:c r="C83" s="71" t="str">
        <x:v>SEK</x:v>
      </x:c>
      <x:c r="D83" s="71" t="str">
        <x:v>Basic／年</x:v>
      </x:c>
      <x:c r="E83" s="72" t="n">
        <x:v>808</x:v>
      </x:c>
      <x:c r="F83" s="71" t="str">
        <x:v>808 kr</x:v>
      </x:c>
      <x:c r="G83" s="71" t="str">
        <x:v>sv-SE</x:v>
      </x:c>
    </x:row>
    <x:row r="84" ht="27" customHeight="1">
      <x:c r="A84" s="71" t="str">
        <x:v>瑞典</x:v>
      </x:c>
      <x:c r="B84" s="71" t="str">
        <x:v>第1组</x:v>
      </x:c>
      <x:c r="C84" s="71" t="str">
        <x:v>SEK</x:v>
      </x:c>
      <x:c r="D84" s="71" t="str">
        <x:v>Plus／年</x:v>
      </x:c>
      <x:c r="E84" s="72" t="n">
        <x:v>1616</x:v>
      </x:c>
      <x:c r="F84" s="71" t="str">
        <x:v>1 616 kr</x:v>
      </x:c>
      <x:c r="G84" s="71" t="str">
        <x:v>sv-SE</x:v>
      </x:c>
    </x:row>
    <x:row r="85" ht="27" customHeight="1">
      <x:c r="A85" s="71" t="str">
        <x:v>瑞典</x:v>
      </x:c>
      <x:c r="B85" s="71" t="str">
        <x:v>第1组</x:v>
      </x:c>
      <x:c r="C85" s="71" t="str">
        <x:v>SEK</x:v>
      </x:c>
      <x:c r="D85" s="71" t="str">
        <x:v>新Pro／年</x:v>
      </x:c>
      <x:c r="E85" s="72" t="n">
        <x:v>3036</x:v>
      </x:c>
      <x:c r="F85" s="71" t="str">
        <x:v>3 036 kr</x:v>
      </x:c>
      <x:c r="G85" s="71" t="str">
        <x:v>sv-SE</x:v>
      </x:c>
    </x:row>
    <x:row r="86" ht="27" customHeight="1">
      <x:c r="A86" s="71" t="str">
        <x:v>瑞典</x:v>
      </x:c>
      <x:c r="B86" s="71" t="str">
        <x:v>第1组</x:v>
      </x:c>
      <x:c r="C86" s="71" t="str">
        <x:v>SEK</x:v>
      </x:c>
      <x:c r="D86" s="71" t="str">
        <x:v>作业包／3份</x:v>
      </x:c>
      <x:c r="E86" s="72" t="n">
        <x:v>84</x:v>
      </x:c>
      <x:c r="F86" s="71" t="str">
        <x:v>84 kr</x:v>
      </x:c>
      <x:c r="G86" s="71" t="str">
        <x:v>sv-SE</x:v>
      </x:c>
    </x:row>
    <x:row r="87" ht="27" customHeight="1">
      <x:c r="A87" s="71" t="str">
        <x:v>瑞典</x:v>
      </x:c>
      <x:c r="B87" s="71" t="str">
        <x:v>第1组</x:v>
      </x:c>
      <x:c r="C87" s="71" t="str">
        <x:v>SEK</x:v>
      </x:c>
      <x:c r="D87" s="71" t="str">
        <x:v>检测包／5份</x:v>
      </x:c>
      <x:c r="E87" s="72" t="n">
        <x:v>42</x:v>
      </x:c>
      <x:c r="F87" s="71" t="str">
        <x:v>42 kr</x:v>
      </x:c>
      <x:c r="G87" s="71" t="str">
        <x:v>sv-SE</x:v>
      </x:c>
    </x:row>
    <x:row r="88" ht="27" customHeight="1">
      <x:c r="A88" s="71" t="str">
        <x:v>瑞典</x:v>
      </x:c>
      <x:c r="B88" s="71" t="str">
        <x:v>第1组</x:v>
      </x:c>
      <x:c r="C88" s="71" t="str">
        <x:v>SEK</x:v>
      </x:c>
      <x:c r="D88" s="71" t="str">
        <x:v>Humanizer包／3份</x:v>
      </x:c>
      <x:c r="E88" s="72" t="n">
        <x:v>59</x:v>
      </x:c>
      <x:c r="F88" s="71" t="str">
        <x:v>59 kr</x:v>
      </x:c>
      <x:c r="G88" s="71" t="str">
        <x:v>sv-SE</x:v>
      </x:c>
    </x:row>
    <x:row r="89" ht="27" customHeight="1">
      <x:c r="A89" s="71" t="str">
        <x:v>瑞典</x:v>
      </x:c>
      <x:c r="B89" s="71" t="str">
        <x:v>第1组</x:v>
      </x:c>
      <x:c r="C89" s="71" t="str">
        <x:v>SEK</x:v>
      </x:c>
      <x:c r="D89" s="71" t="str">
        <x:v>Study Pass／月</x:v>
      </x:c>
      <x:c r="E89" s="73" t="n">
        <x:v>8.4</x:v>
      </x:c>
      <x:c r="F89" s="71" t="str">
        <x:v>8,40 kr</x:v>
      </x:c>
      <x:c r="G89" s="71" t="str">
        <x:v>sv-SE</x:v>
      </x:c>
    </x:row>
    <x:row r="90" ht="27" customHeight="1">
      <x:c r="A90" s="71" t="str">
        <x:v>泰国</x:v>
      </x:c>
      <x:c r="B90" s="71" t="str">
        <x:v>第1组</x:v>
      </x:c>
      <x:c r="C90" s="71" t="str">
        <x:v>THB</x:v>
      </x:c>
      <x:c r="D90" s="71" t="str">
        <x:v>Trial／7天</x:v>
      </x:c>
      <x:c r="E90" s="72" t="n">
        <x:v>29</x:v>
      </x:c>
      <x:c r="F90" s="71" t="str">
        <x:v>฿29</x:v>
      </x:c>
      <x:c r="G90" s="71" t="str">
        <x:v>th-TH</x:v>
      </x:c>
    </x:row>
    <x:row r="91" ht="27" customHeight="1">
      <x:c r="A91" s="71" t="str">
        <x:v>泰国</x:v>
      </x:c>
      <x:c r="B91" s="71" t="str">
        <x:v>第1组</x:v>
      </x:c>
      <x:c r="C91" s="71" t="str">
        <x:v>THB</x:v>
      </x:c>
      <x:c r="D91" s="71" t="str">
        <x:v>Basic／月</x:v>
      </x:c>
      <x:c r="E91" s="72" t="n">
        <x:v>199</x:v>
      </x:c>
      <x:c r="F91" s="71" t="str">
        <x:v>฿199</x:v>
      </x:c>
      <x:c r="G91" s="71" t="str">
        <x:v>th-TH</x:v>
      </x:c>
    </x:row>
    <x:row r="92" ht="27" customHeight="1">
      <x:c r="A92" s="71" t="str">
        <x:v>泰国</x:v>
      </x:c>
      <x:c r="B92" s="71" t="str">
        <x:v>第1组</x:v>
      </x:c>
      <x:c r="C92" s="71" t="str">
        <x:v>THB</x:v>
      </x:c>
      <x:c r="D92" s="71" t="str">
        <x:v>Plus／月</x:v>
      </x:c>
      <x:c r="E92" s="72" t="n">
        <x:v>399</x:v>
      </x:c>
      <x:c r="F92" s="71" t="str">
        <x:v>฿399</x:v>
      </x:c>
      <x:c r="G92" s="71" t="str">
        <x:v>th-TH</x:v>
      </x:c>
    </x:row>
    <x:row r="93" ht="27" customHeight="1">
      <x:c r="A93" s="71" t="str">
        <x:v>泰国</x:v>
      </x:c>
      <x:c r="B93" s="71" t="str">
        <x:v>第1组</x:v>
      </x:c>
      <x:c r="C93" s="71" t="str">
        <x:v>THB</x:v>
      </x:c>
      <x:c r="D93" s="71" t="str">
        <x:v>新Pro／月</x:v>
      </x:c>
      <x:c r="E93" s="72" t="n">
        <x:v>299</x:v>
      </x:c>
      <x:c r="F93" s="71" t="str">
        <x:v>฿299</x:v>
      </x:c>
      <x:c r="G93" s="71" t="str">
        <x:v>th-TH</x:v>
      </x:c>
    </x:row>
    <x:row r="94" ht="27" customHeight="1">
      <x:c r="A94" s="71" t="str">
        <x:v>泰国</x:v>
      </x:c>
      <x:c r="B94" s="71" t="str">
        <x:v>第1组</x:v>
      </x:c>
      <x:c r="C94" s="71" t="str">
        <x:v>THB</x:v>
      </x:c>
      <x:c r="D94" s="71" t="str">
        <x:v>Basic／年</x:v>
      </x:c>
      <x:c r="E94" s="72" t="n">
        <x:v>959</x:v>
      </x:c>
      <x:c r="F94" s="71" t="str">
        <x:v>฿959</x:v>
      </x:c>
      <x:c r="G94" s="71" t="str">
        <x:v>th-TH</x:v>
      </x:c>
    </x:row>
    <x:row r="95" ht="27" customHeight="1">
      <x:c r="A95" s="71" t="str">
        <x:v>泰国</x:v>
      </x:c>
      <x:c r="B95" s="71" t="str">
        <x:v>第1组</x:v>
      </x:c>
      <x:c r="C95" s="71" t="str">
        <x:v>THB</x:v>
      </x:c>
      <x:c r="D95" s="71" t="str">
        <x:v>Plus／年</x:v>
      </x:c>
      <x:c r="E95" s="72" t="n">
        <x:v>1929</x:v>
      </x:c>
      <x:c r="F95" s="71" t="str">
        <x:v>฿1,929</x:v>
      </x:c>
      <x:c r="G95" s="71" t="str">
        <x:v>th-TH</x:v>
      </x:c>
    </x:row>
    <x:row r="96" ht="27" customHeight="1">
      <x:c r="A96" s="71" t="str">
        <x:v>泰国</x:v>
      </x:c>
      <x:c r="B96" s="71" t="str">
        <x:v>第1组</x:v>
      </x:c>
      <x:c r="C96" s="71" t="str">
        <x:v>THB</x:v>
      </x:c>
      <x:c r="D96" s="71" t="str">
        <x:v>新Pro／年</x:v>
      </x:c>
      <x:c r="E96" s="72" t="n">
        <x:v>3588</x:v>
      </x:c>
      <x:c r="F96" s="71" t="str">
        <x:v>฿3,588</x:v>
      </x:c>
      <x:c r="G96" s="71" t="str">
        <x:v>th-TH</x:v>
      </x:c>
    </x:row>
    <x:row r="97" ht="27" customHeight="1">
      <x:c r="A97" s="71" t="str">
        <x:v>泰国</x:v>
      </x:c>
      <x:c r="B97" s="71" t="str">
        <x:v>第1组</x:v>
      </x:c>
      <x:c r="C97" s="71" t="str">
        <x:v>THB</x:v>
      </x:c>
      <x:c r="D97" s="71" t="str">
        <x:v>作业包／3份</x:v>
      </x:c>
      <x:c r="E97" s="72" t="n">
        <x:v>99</x:v>
      </x:c>
      <x:c r="F97" s="71" t="str">
        <x:v>฿99</x:v>
      </x:c>
      <x:c r="G97" s="71" t="str">
        <x:v>th-TH</x:v>
      </x:c>
    </x:row>
    <x:row r="98" ht="27" customHeight="1">
      <x:c r="A98" s="71" t="str">
        <x:v>泰国</x:v>
      </x:c>
      <x:c r="B98" s="71" t="str">
        <x:v>第1组</x:v>
      </x:c>
      <x:c r="C98" s="71" t="str">
        <x:v>THB</x:v>
      </x:c>
      <x:c r="D98" s="71" t="str">
        <x:v>检测包／5份</x:v>
      </x:c>
      <x:c r="E98" s="72" t="n">
        <x:v>49</x:v>
      </x:c>
      <x:c r="F98" s="71" t="str">
        <x:v>฿49</x:v>
      </x:c>
      <x:c r="G98" s="71" t="str">
        <x:v>th-TH</x:v>
      </x:c>
    </x:row>
    <x:row r="99" ht="27" customHeight="1">
      <x:c r="A99" s="71" t="str">
        <x:v>泰国</x:v>
      </x:c>
      <x:c r="B99" s="71" t="str">
        <x:v>第1组</x:v>
      </x:c>
      <x:c r="C99" s="71" t="str">
        <x:v>THB</x:v>
      </x:c>
      <x:c r="D99" s="71" t="str">
        <x:v>Humanizer包／3份</x:v>
      </x:c>
      <x:c r="E99" s="72" t="n">
        <x:v>69</x:v>
      </x:c>
      <x:c r="F99" s="71" t="str">
        <x:v>฿69</x:v>
      </x:c>
      <x:c r="G99" s="71" t="str">
        <x:v>th-TH</x:v>
      </x:c>
    </x:row>
    <x:row r="100" ht="27" customHeight="1">
      <x:c r="A100" s="71" t="str">
        <x:v>泰国</x:v>
      </x:c>
      <x:c r="B100" s="71" t="str">
        <x:v>第1组</x:v>
      </x:c>
      <x:c r="C100" s="71" t="str">
        <x:v>THB</x:v>
      </x:c>
      <x:c r="D100" s="71" t="str">
        <x:v>Study Pass／月</x:v>
      </x:c>
      <x:c r="E100" s="72" t="n">
        <x:v>21</x:v>
      </x:c>
      <x:c r="F100" s="71" t="str">
        <x:v>฿21</x:v>
      </x:c>
      <x:c r="G100" s="71" t="str">
        <x:v>th-TH</x:v>
      </x:c>
    </x:row>
    <x:row r="101" ht="27" customHeight="1">
      <x:c r="A101" s="71" t="str">
        <x:v>奥地利</x:v>
      </x:c>
      <x:c r="B101" s="71" t="str">
        <x:v>第1组</x:v>
      </x:c>
      <x:c r="C101" s="71" t="str">
        <x:v>EUR</x:v>
      </x:c>
      <x:c r="D101" s="71" t="str">
        <x:v>Trial／7天</x:v>
      </x:c>
      <x:c r="E101" s="73" t="n">
        <x:v>1.99</x:v>
      </x:c>
      <x:c r="F101" s="71" t="str">
        <x:v>€ 1,99</x:v>
      </x:c>
      <x:c r="G101" s="71" t="str">
        <x:v>de-AT</x:v>
      </x:c>
    </x:row>
    <x:row r="102" ht="27" customHeight="1">
      <x:c r="A102" s="71" t="str">
        <x:v>奥地利</x:v>
      </x:c>
      <x:c r="B102" s="71" t="str">
        <x:v>第1组</x:v>
      </x:c>
      <x:c r="C102" s="71" t="str">
        <x:v>EUR</x:v>
      </x:c>
      <x:c r="D102" s="71" t="str">
        <x:v>Basic／月</x:v>
      </x:c>
      <x:c r="E102" s="73" t="n">
        <x:v>13.99</x:v>
      </x:c>
      <x:c r="F102" s="71" t="str">
        <x:v>€ 13,99</x:v>
      </x:c>
      <x:c r="G102" s="71" t="str">
        <x:v>de-AT</x:v>
      </x:c>
    </x:row>
    <x:row r="103" ht="27" customHeight="1">
      <x:c r="A103" s="71" t="str">
        <x:v>奥地利</x:v>
      </x:c>
      <x:c r="B103" s="71" t="str">
        <x:v>第1组</x:v>
      </x:c>
      <x:c r="C103" s="71" t="str">
        <x:v>EUR</x:v>
      </x:c>
      <x:c r="D103" s="71" t="str">
        <x:v>Plus／月</x:v>
      </x:c>
      <x:c r="E103" s="73" t="n">
        <x:v>27.99</x:v>
      </x:c>
      <x:c r="F103" s="71" t="str">
        <x:v>€ 27,99</x:v>
      </x:c>
      <x:c r="G103" s="71" t="str">
        <x:v>de-AT</x:v>
      </x:c>
    </x:row>
    <x:row r="104" ht="27" customHeight="1">
      <x:c r="A104" s="71" t="str">
        <x:v>奥地利</x:v>
      </x:c>
      <x:c r="B104" s="71" t="str">
        <x:v>第1组</x:v>
      </x:c>
      <x:c r="C104" s="71" t="str">
        <x:v>EUR</x:v>
      </x:c>
      <x:c r="D104" s="71" t="str">
        <x:v>新Pro／月</x:v>
      </x:c>
      <x:c r="E104" s="73" t="n">
        <x:v>20.99</x:v>
      </x:c>
      <x:c r="F104" s="71" t="str">
        <x:v>€ 20,99</x:v>
      </x:c>
      <x:c r="G104" s="71" t="str">
        <x:v>de-AT</x:v>
      </x:c>
    </x:row>
    <x:row r="105" ht="27" customHeight="1">
      <x:c r="A105" s="71" t="str">
        <x:v>奥地利</x:v>
      </x:c>
      <x:c r="B105" s="71" t="str">
        <x:v>第1组</x:v>
      </x:c>
      <x:c r="C105" s="71" t="str">
        <x:v>EUR</x:v>
      </x:c>
      <x:c r="D105" s="71" t="str">
        <x:v>Basic／年</x:v>
      </x:c>
      <x:c r="E105" s="73" t="n">
        <x:v>67.99</x:v>
      </x:c>
      <x:c r="F105" s="71" t="str">
        <x:v>€ 67,99</x:v>
      </x:c>
      <x:c r="G105" s="71" t="str">
        <x:v>de-AT</x:v>
      </x:c>
    </x:row>
    <x:row r="106" ht="27" customHeight="1">
      <x:c r="A106" s="71" t="str">
        <x:v>奥地利</x:v>
      </x:c>
      <x:c r="B106" s="71" t="str">
        <x:v>第1组</x:v>
      </x:c>
      <x:c r="C106" s="71" t="str">
        <x:v>EUR</x:v>
      </x:c>
      <x:c r="D106" s="71" t="str">
        <x:v>Plus／年</x:v>
      </x:c>
      <x:c r="E106" s="73" t="n">
        <x:v>136.99</x:v>
      </x:c>
      <x:c r="F106" s="71" t="str">
        <x:v>€ 136,99</x:v>
      </x:c>
      <x:c r="G106" s="71" t="str">
        <x:v>de-AT</x:v>
      </x:c>
    </x:row>
    <x:row r="107" ht="27" customHeight="1">
      <x:c r="A107" s="71" t="str">
        <x:v>奥地利</x:v>
      </x:c>
      <x:c r="B107" s="71" t="str">
        <x:v>第1组</x:v>
      </x:c>
      <x:c r="C107" s="71" t="str">
        <x:v>EUR</x:v>
      </x:c>
      <x:c r="D107" s="71" t="str">
        <x:v>新Pro／年</x:v>
      </x:c>
      <x:c r="E107" s="73" t="n">
        <x:v>251.88</x:v>
      </x:c>
      <x:c r="F107" s="71" t="str">
        <x:v>€ 251,88</x:v>
      </x:c>
      <x:c r="G107" s="71" t="str">
        <x:v>de-AT</x:v>
      </x:c>
    </x:row>
    <x:row r="108" ht="27" customHeight="1">
      <x:c r="A108" s="71" t="str">
        <x:v>奥地利</x:v>
      </x:c>
      <x:c r="B108" s="71" t="str">
        <x:v>第1组</x:v>
      </x:c>
      <x:c r="C108" s="71" t="str">
        <x:v>EUR</x:v>
      </x:c>
      <x:c r="D108" s="71" t="str">
        <x:v>作业包／3份</x:v>
      </x:c>
      <x:c r="E108" s="73" t="n">
        <x:v>6.99</x:v>
      </x:c>
      <x:c r="F108" s="71" t="str">
        <x:v>€ 6,99</x:v>
      </x:c>
      <x:c r="G108" s="71" t="str">
        <x:v>de-AT</x:v>
      </x:c>
    </x:row>
    <x:row r="109" ht="27" customHeight="1">
      <x:c r="A109" s="71" t="str">
        <x:v>奥地利</x:v>
      </x:c>
      <x:c r="B109" s="71" t="str">
        <x:v>第1组</x:v>
      </x:c>
      <x:c r="C109" s="71" t="str">
        <x:v>EUR</x:v>
      </x:c>
      <x:c r="D109" s="71" t="str">
        <x:v>检测包／5份</x:v>
      </x:c>
      <x:c r="E109" s="73" t="n">
        <x:v>3.49</x:v>
      </x:c>
      <x:c r="F109" s="71" t="str">
        <x:v>€ 3,49</x:v>
      </x:c>
      <x:c r="G109" s="71" t="str">
        <x:v>de-AT</x:v>
      </x:c>
    </x:row>
    <x:row r="110" ht="27" customHeight="1">
      <x:c r="A110" s="71" t="str">
        <x:v>奥地利</x:v>
      </x:c>
      <x:c r="B110" s="71" t="str">
        <x:v>第1组</x:v>
      </x:c>
      <x:c r="C110" s="71" t="str">
        <x:v>EUR</x:v>
      </x:c>
      <x:c r="D110" s="71" t="str">
        <x:v>Humanizer包／3份</x:v>
      </x:c>
      <x:c r="E110" s="73" t="n">
        <x:v>4.99</x:v>
      </x:c>
      <x:c r="F110" s="71" t="str">
        <x:v>€ 4,99</x:v>
      </x:c>
      <x:c r="G110" s="71" t="str">
        <x:v>de-AT</x:v>
      </x:c>
    </x:row>
    <x:row r="111" ht="27" customHeight="1">
      <x:c r="A111" s="71" t="str">
        <x:v>奥地利</x:v>
      </x:c>
      <x:c r="B111" s="71" t="str">
        <x:v>第1组</x:v>
      </x:c>
      <x:c r="C111" s="71" t="str">
        <x:v>EUR</x:v>
      </x:c>
      <x:c r="D111" s="71" t="str">
        <x:v>Study Pass／月</x:v>
      </x:c>
      <x:c r="E111" s="73" t="n">
        <x:v>0.7</x:v>
      </x:c>
      <x:c r="F111" s="71" t="str">
        <x:v>€ 0,70</x:v>
      </x:c>
      <x:c r="G111" s="71" t="str">
        <x:v>de-AT</x:v>
      </x:c>
    </x:row>
    <x:row r="112" ht="27" customHeight="1">
      <x:c r="A112" s="71" t="str">
        <x:v>美国</x:v>
      </x:c>
      <x:c r="B112" s="71" t="str">
        <x:v>第2组</x:v>
      </x:c>
      <x:c r="C112" s="71" t="str">
        <x:v>USD</x:v>
      </x:c>
      <x:c r="D112" s="71" t="str">
        <x:v>Trial／7天</x:v>
      </x:c>
      <x:c r="E112" s="73" t="n">
        <x:v>2.99</x:v>
      </x:c>
      <x:c r="F112" s="71" t="str">
        <x:v>$2.99</x:v>
      </x:c>
      <x:c r="G112" s="71" t="str">
        <x:v>en-US</x:v>
      </x:c>
    </x:row>
    <x:row r="113" ht="27" customHeight="1">
      <x:c r="A113" s="71" t="str">
        <x:v>美国</x:v>
      </x:c>
      <x:c r="B113" s="71" t="str">
        <x:v>第2组</x:v>
      </x:c>
      <x:c r="C113" s="71" t="str">
        <x:v>USD</x:v>
      </x:c>
      <x:c r="D113" s="71" t="str">
        <x:v>Basic／月</x:v>
      </x:c>
      <x:c r="E113" s="73" t="n">
        <x:v>19.99</x:v>
      </x:c>
      <x:c r="F113" s="71" t="str">
        <x:v>$19.99</x:v>
      </x:c>
      <x:c r="G113" s="71" t="str">
        <x:v>en-US</x:v>
      </x:c>
    </x:row>
    <x:row r="114" ht="27" customHeight="1">
      <x:c r="A114" s="71" t="str">
        <x:v>美国</x:v>
      </x:c>
      <x:c r="B114" s="71" t="str">
        <x:v>第2组</x:v>
      </x:c>
      <x:c r="C114" s="71" t="str">
        <x:v>USD</x:v>
      </x:c>
      <x:c r="D114" s="71" t="str">
        <x:v>Plus／月</x:v>
      </x:c>
      <x:c r="E114" s="73" t="n">
        <x:v>39.99</x:v>
      </x:c>
      <x:c r="F114" s="71" t="str">
        <x:v>$39.99</x:v>
      </x:c>
      <x:c r="G114" s="71" t="str">
        <x:v>en-US</x:v>
      </x:c>
    </x:row>
    <x:row r="115" ht="27" customHeight="1">
      <x:c r="A115" s="71" t="str">
        <x:v>美国</x:v>
      </x:c>
      <x:c r="B115" s="71" t="str">
        <x:v>第2组</x:v>
      </x:c>
      <x:c r="C115" s="71" t="str">
        <x:v>USD</x:v>
      </x:c>
      <x:c r="D115" s="71" t="str">
        <x:v>新Pro／月</x:v>
      </x:c>
      <x:c r="E115" s="73" t="n">
        <x:v>29.99</x:v>
      </x:c>
      <x:c r="F115" s="71" t="str">
        <x:v>$29.99</x:v>
      </x:c>
      <x:c r="G115" s="71" t="str">
        <x:v>en-US</x:v>
      </x:c>
    </x:row>
    <x:row r="116" ht="27" customHeight="1">
      <x:c r="A116" s="71" t="str">
        <x:v>美国</x:v>
      </x:c>
      <x:c r="B116" s="71" t="str">
        <x:v>第2组</x:v>
      </x:c>
      <x:c r="C116" s="71" t="str">
        <x:v>USD</x:v>
      </x:c>
      <x:c r="D116" s="71" t="str">
        <x:v>Basic／年</x:v>
      </x:c>
      <x:c r="E116" s="73" t="n">
        <x:v>95.88</x:v>
      </x:c>
      <x:c r="F116" s="71" t="str">
        <x:v>$95.88</x:v>
      </x:c>
      <x:c r="G116" s="71" t="str">
        <x:v>en-US</x:v>
      </x:c>
    </x:row>
    <x:row r="117" ht="27" customHeight="1">
      <x:c r="A117" s="71" t="str">
        <x:v>美国</x:v>
      </x:c>
      <x:c r="B117" s="71" t="str">
        <x:v>第2组</x:v>
      </x:c>
      <x:c r="C117" s="71" t="str">
        <x:v>USD</x:v>
      </x:c>
      <x:c r="D117" s="71" t="str">
        <x:v>Plus／年</x:v>
      </x:c>
      <x:c r="E117" s="73" t="n">
        <x:v>191.88</x:v>
      </x:c>
      <x:c r="F117" s="71" t="str">
        <x:v>$191.88</x:v>
      </x:c>
      <x:c r="G117" s="71" t="str">
        <x:v>en-US</x:v>
      </x:c>
    </x:row>
    <x:row r="118" ht="27" customHeight="1">
      <x:c r="A118" s="71" t="str">
        <x:v>美国</x:v>
      </x:c>
      <x:c r="B118" s="71" t="str">
        <x:v>第2组</x:v>
      </x:c>
      <x:c r="C118" s="71" t="str">
        <x:v>USD</x:v>
      </x:c>
      <x:c r="D118" s="71" t="str">
        <x:v>新Pro／年</x:v>
      </x:c>
      <x:c r="E118" s="73" t="n">
        <x:v>359.88</x:v>
      </x:c>
      <x:c r="F118" s="71" t="str">
        <x:v>$359.88</x:v>
      </x:c>
      <x:c r="G118" s="71" t="str">
        <x:v>en-US</x:v>
      </x:c>
    </x:row>
    <x:row r="119" ht="27" customHeight="1">
      <x:c r="A119" s="71" t="str">
        <x:v>美国</x:v>
      </x:c>
      <x:c r="B119" s="71" t="str">
        <x:v>第2组</x:v>
      </x:c>
      <x:c r="C119" s="71" t="str">
        <x:v>USD</x:v>
      </x:c>
      <x:c r="D119" s="71" t="str">
        <x:v>作业包／3份</x:v>
      </x:c>
      <x:c r="E119" s="73" t="n">
        <x:v>9.99</x:v>
      </x:c>
      <x:c r="F119" s="71" t="str">
        <x:v>$9.99</x:v>
      </x:c>
      <x:c r="G119" s="71" t="str">
        <x:v>en-US</x:v>
      </x:c>
    </x:row>
    <x:row r="120" ht="27" customHeight="1">
      <x:c r="A120" s="71" t="str">
        <x:v>美国</x:v>
      </x:c>
      <x:c r="B120" s="71" t="str">
        <x:v>第2组</x:v>
      </x:c>
      <x:c r="C120" s="71" t="str">
        <x:v>USD</x:v>
      </x:c>
      <x:c r="D120" s="71" t="str">
        <x:v>检测包／5份</x:v>
      </x:c>
      <x:c r="E120" s="73" t="n">
        <x:v>4.99</x:v>
      </x:c>
      <x:c r="F120" s="71" t="str">
        <x:v>$4.99</x:v>
      </x:c>
      <x:c r="G120" s="71" t="str">
        <x:v>en-US</x:v>
      </x:c>
    </x:row>
    <x:row r="121" ht="27" customHeight="1">
      <x:c r="A121" s="71" t="str">
        <x:v>美国</x:v>
      </x:c>
      <x:c r="B121" s="71" t="str">
        <x:v>第2组</x:v>
      </x:c>
      <x:c r="C121" s="71" t="str">
        <x:v>USD</x:v>
      </x:c>
      <x:c r="D121" s="71" t="str">
        <x:v>Humanizer包／3份</x:v>
      </x:c>
      <x:c r="E121" s="73" t="n">
        <x:v>6.99</x:v>
      </x:c>
      <x:c r="F121" s="71" t="str">
        <x:v>$6.99</x:v>
      </x:c>
      <x:c r="G121" s="71" t="str">
        <x:v>en-US</x:v>
      </x:c>
    </x:row>
    <x:row r="122" ht="27" customHeight="1">
      <x:c r="A122" s="71" t="str">
        <x:v>美国</x:v>
      </x:c>
      <x:c r="B122" s="71" t="str">
        <x:v>第2组</x:v>
      </x:c>
      <x:c r="C122" s="71" t="str">
        <x:v>USD</x:v>
      </x:c>
      <x:c r="D122" s="71" t="str">
        <x:v>Study Pass／月</x:v>
      </x:c>
      <x:c r="E122" s="73" t="n">
        <x:v>0.99</x:v>
      </x:c>
      <x:c r="F122" s="71" t="str">
        <x:v>$0.99</x:v>
      </x:c>
      <x:c r="G122" s="71" t="str">
        <x:v>en-US</x:v>
      </x:c>
    </x:row>
    <x:row r="123" ht="27" customHeight="1">
      <x:c r="A123" s="71" t="str">
        <x:v>印度</x:v>
      </x:c>
      <x:c r="B123" s="71" t="str">
        <x:v>第2组</x:v>
      </x:c>
      <x:c r="C123" s="71" t="str">
        <x:v>INR</x:v>
      </x:c>
      <x:c r="D123" s="71" t="str">
        <x:v>Trial／7天</x:v>
      </x:c>
      <x:c r="E123" s="72" t="n">
        <x:v>59</x:v>
      </x:c>
      <x:c r="F123" s="71" t="str">
        <x:v>₹59</x:v>
      </x:c>
      <x:c r="G123" s="71" t="str">
        <x:v>en-IN</x:v>
      </x:c>
    </x:row>
    <x:row r="124" ht="27" customHeight="1">
      <x:c r="A124" s="71" t="str">
        <x:v>印度</x:v>
      </x:c>
      <x:c r="B124" s="71" t="str">
        <x:v>第2组</x:v>
      </x:c>
      <x:c r="C124" s="71" t="str">
        <x:v>INR</x:v>
      </x:c>
      <x:c r="D124" s="71" t="str">
        <x:v>Basic／月</x:v>
      </x:c>
      <x:c r="E124" s="72" t="n">
        <x:v>379</x:v>
      </x:c>
      <x:c r="F124" s="71" t="str">
        <x:v>₹379</x:v>
      </x:c>
      <x:c r="G124" s="71" t="str">
        <x:v>en-IN</x:v>
      </x:c>
    </x:row>
    <x:row r="125" ht="27" customHeight="1">
      <x:c r="A125" s="71" t="str">
        <x:v>印度</x:v>
      </x:c>
      <x:c r="B125" s="71" t="str">
        <x:v>第2组</x:v>
      </x:c>
      <x:c r="C125" s="71" t="str">
        <x:v>INR</x:v>
      </x:c>
      <x:c r="D125" s="71" t="str">
        <x:v>Plus／月</x:v>
      </x:c>
      <x:c r="E125" s="72" t="n">
        <x:v>759</x:v>
      </x:c>
      <x:c r="F125" s="71" t="str">
        <x:v>₹759</x:v>
      </x:c>
      <x:c r="G125" s="71" t="str">
        <x:v>en-IN</x:v>
      </x:c>
    </x:row>
    <x:row r="126" ht="27" customHeight="1">
      <x:c r="A126" s="71" t="str">
        <x:v>印度</x:v>
      </x:c>
      <x:c r="B126" s="71" t="str">
        <x:v>第2组</x:v>
      </x:c>
      <x:c r="C126" s="71" t="str">
        <x:v>INR</x:v>
      </x:c>
      <x:c r="D126" s="71" t="str">
        <x:v>新Pro／月</x:v>
      </x:c>
      <x:c r="E126" s="72" t="n">
        <x:v>569</x:v>
      </x:c>
      <x:c r="F126" s="71" t="str">
        <x:v>₹569</x:v>
      </x:c>
      <x:c r="G126" s="71" t="str">
        <x:v>en-IN</x:v>
      </x:c>
    </x:row>
    <x:row r="127" ht="27" customHeight="1">
      <x:c r="A127" s="71" t="str">
        <x:v>印度</x:v>
      </x:c>
      <x:c r="B127" s="71" t="str">
        <x:v>第2组</x:v>
      </x:c>
      <x:c r="C127" s="71" t="str">
        <x:v>INR</x:v>
      </x:c>
      <x:c r="D127" s="71" t="str">
        <x:v>Basic／年</x:v>
      </x:c>
      <x:c r="E127" s="72" t="n">
        <x:v>1799</x:v>
      </x:c>
      <x:c r="F127" s="71" t="str">
        <x:v>₹1,799</x:v>
      </x:c>
      <x:c r="G127" s="71" t="str">
        <x:v>en-IN</x:v>
      </x:c>
    </x:row>
    <x:row r="128" ht="27" customHeight="1">
      <x:c r="A128" s="71" t="str">
        <x:v>印度</x:v>
      </x:c>
      <x:c r="B128" s="71" t="str">
        <x:v>第2组</x:v>
      </x:c>
      <x:c r="C128" s="71" t="str">
        <x:v>INR</x:v>
      </x:c>
      <x:c r="D128" s="71" t="str">
        <x:v>Plus／年</x:v>
      </x:c>
      <x:c r="E128" s="72" t="n">
        <x:v>3699</x:v>
      </x:c>
      <x:c r="F128" s="71" t="str">
        <x:v>₹3,699</x:v>
      </x:c>
      <x:c r="G128" s="71" t="str">
        <x:v>en-IN</x:v>
      </x:c>
    </x:row>
    <x:row r="129" ht="27" customHeight="1">
      <x:c r="A129" s="71" t="str">
        <x:v>印度</x:v>
      </x:c>
      <x:c r="B129" s="71" t="str">
        <x:v>第2组</x:v>
      </x:c>
      <x:c r="C129" s="71" t="str">
        <x:v>INR</x:v>
      </x:c>
      <x:c r="D129" s="71" t="str">
        <x:v>新Pro／年</x:v>
      </x:c>
      <x:c r="E129" s="72" t="n">
        <x:v>6828</x:v>
      </x:c>
      <x:c r="F129" s="71" t="str">
        <x:v>₹6,828</x:v>
      </x:c>
      <x:c r="G129" s="71" t="str">
        <x:v>en-IN</x:v>
      </x:c>
    </x:row>
    <x:row r="130" ht="27" customHeight="1">
      <x:c r="A130" s="71" t="str">
        <x:v>印度</x:v>
      </x:c>
      <x:c r="B130" s="71" t="str">
        <x:v>第2组</x:v>
      </x:c>
      <x:c r="C130" s="71" t="str">
        <x:v>INR</x:v>
      </x:c>
      <x:c r="D130" s="71" t="str">
        <x:v>作业包／3份</x:v>
      </x:c>
      <x:c r="E130" s="72" t="n">
        <x:v>189</x:v>
      </x:c>
      <x:c r="F130" s="71" t="str">
        <x:v>₹189</x:v>
      </x:c>
      <x:c r="G130" s="71" t="str">
        <x:v>en-IN</x:v>
      </x:c>
    </x:row>
    <x:row r="131" ht="27" customHeight="1">
      <x:c r="A131" s="71" t="str">
        <x:v>印度</x:v>
      </x:c>
      <x:c r="B131" s="71" t="str">
        <x:v>第2组</x:v>
      </x:c>
      <x:c r="C131" s="71" t="str">
        <x:v>INR</x:v>
      </x:c>
      <x:c r="D131" s="71" t="str">
        <x:v>检测包／5份</x:v>
      </x:c>
      <x:c r="E131" s="72" t="n">
        <x:v>99</x:v>
      </x:c>
      <x:c r="F131" s="71" t="str">
        <x:v>₹99</x:v>
      </x:c>
      <x:c r="G131" s="71" t="str">
        <x:v>en-IN</x:v>
      </x:c>
    </x:row>
    <x:row r="132" ht="27" customHeight="1">
      <x:c r="A132" s="71" t="str">
        <x:v>印度</x:v>
      </x:c>
      <x:c r="B132" s="71" t="str">
        <x:v>第2组</x:v>
      </x:c>
      <x:c r="C132" s="71" t="str">
        <x:v>INR</x:v>
      </x:c>
      <x:c r="D132" s="71" t="str">
        <x:v>Humanizer包／3份</x:v>
      </x:c>
      <x:c r="E132" s="72" t="n">
        <x:v>129</x:v>
      </x:c>
      <x:c r="F132" s="71" t="str">
        <x:v>₹129</x:v>
      </x:c>
      <x:c r="G132" s="71" t="str">
        <x:v>en-IN</x:v>
      </x:c>
    </x:row>
    <x:row r="133" ht="27" customHeight="1">
      <x:c r="A133" s="71" t="str">
        <x:v>印度</x:v>
      </x:c>
      <x:c r="B133" s="71" t="str">
        <x:v>第2组</x:v>
      </x:c>
      <x:c r="C133" s="71" t="str">
        <x:v>INR</x:v>
      </x:c>
      <x:c r="D133" s="71" t="str">
        <x:v>Study Pass／月</x:v>
      </x:c>
      <x:c r="E133" s="72" t="n">
        <x:v>57</x:v>
      </x:c>
      <x:c r="F133" s="71" t="str">
        <x:v>₹57</x:v>
      </x:c>
      <x:c r="G133" s="71" t="str">
        <x:v>en-IN</x:v>
      </x:c>
    </x:row>
    <x:row r="134" ht="27" customHeight="1">
      <x:c r="A134" s="71" t="str">
        <x:v>巴西</x:v>
      </x:c>
      <x:c r="B134" s="71" t="str">
        <x:v>第2组</x:v>
      </x:c>
      <x:c r="C134" s="71" t="str">
        <x:v>BRL</x:v>
      </x:c>
      <x:c r="D134" s="71" t="str">
        <x:v>Trial／7天</x:v>
      </x:c>
      <x:c r="E134" s="73" t="n">
        <x:v>5.9</x:v>
      </x:c>
      <x:c r="F134" s="71" t="str">
        <x:v>R$ 5,90</x:v>
      </x:c>
      <x:c r="G134" s="71" t="str">
        <x:v>pt-BR</x:v>
      </x:c>
    </x:row>
    <x:row r="135" ht="27" customHeight="1">
      <x:c r="A135" s="71" t="str">
        <x:v>巴西</x:v>
      </x:c>
      <x:c r="B135" s="71" t="str">
        <x:v>第2组</x:v>
      </x:c>
      <x:c r="C135" s="71" t="str">
        <x:v>BRL</x:v>
      </x:c>
      <x:c r="D135" s="71" t="str">
        <x:v>Basic／月</x:v>
      </x:c>
      <x:c r="E135" s="73" t="n">
        <x:v>40.9</x:v>
      </x:c>
      <x:c r="F135" s="71" t="str">
        <x:v>R$ 40,90</x:v>
      </x:c>
      <x:c r="G135" s="71" t="str">
        <x:v>pt-BR</x:v>
      </x:c>
    </x:row>
    <x:row r="136" ht="27" customHeight="1">
      <x:c r="A136" s="71" t="str">
        <x:v>巴西</x:v>
      </x:c>
      <x:c r="B136" s="71" t="str">
        <x:v>第2组</x:v>
      </x:c>
      <x:c r="C136" s="71" t="str">
        <x:v>BRL</x:v>
      </x:c>
      <x:c r="D136" s="71" t="str">
        <x:v>Plus／月</x:v>
      </x:c>
      <x:c r="E136" s="73" t="n">
        <x:v>80.9</x:v>
      </x:c>
      <x:c r="F136" s="71" t="str">
        <x:v>R$ 80,90</x:v>
      </x:c>
      <x:c r="G136" s="71" t="str">
        <x:v>pt-BR</x:v>
      </x:c>
    </x:row>
    <x:row r="137" ht="27" customHeight="1">
      <x:c r="A137" s="71" t="str">
        <x:v>巴西</x:v>
      </x:c>
      <x:c r="B137" s="71" t="str">
        <x:v>第2组</x:v>
      </x:c>
      <x:c r="C137" s="71" t="str">
        <x:v>BRL</x:v>
      </x:c>
      <x:c r="D137" s="71" t="str">
        <x:v>新Pro／月</x:v>
      </x:c>
      <x:c r="E137" s="73" t="n">
        <x:v>60.9</x:v>
      </x:c>
      <x:c r="F137" s="71" t="str">
        <x:v>R$ 60,90</x:v>
      </x:c>
      <x:c r="G137" s="71" t="str">
        <x:v>pt-BR</x:v>
      </x:c>
    </x:row>
    <x:row r="138" ht="27" customHeight="1">
      <x:c r="A138" s="71" t="str">
        <x:v>巴西</x:v>
      </x:c>
      <x:c r="B138" s="71" t="str">
        <x:v>第2组</x:v>
      </x:c>
      <x:c r="C138" s="71" t="str">
        <x:v>BRL</x:v>
      </x:c>
      <x:c r="D138" s="71" t="str">
        <x:v>Basic／年</x:v>
      </x:c>
      <x:c r="E138" s="73" t="n">
        <x:v>194.9</x:v>
      </x:c>
      <x:c r="F138" s="71" t="str">
        <x:v>R$ 194,90</x:v>
      </x:c>
      <x:c r="G138" s="71" t="str">
        <x:v>pt-BR</x:v>
      </x:c>
    </x:row>
    <x:row r="139" ht="27" customHeight="1">
      <x:c r="A139" s="71" t="str">
        <x:v>巴西</x:v>
      </x:c>
      <x:c r="B139" s="71" t="str">
        <x:v>第2组</x:v>
      </x:c>
      <x:c r="C139" s="71" t="str">
        <x:v>BRL</x:v>
      </x:c>
      <x:c r="D139" s="71" t="str">
        <x:v>Plus／年</x:v>
      </x:c>
      <x:c r="E139" s="73" t="n">
        <x:v>390.9</x:v>
      </x:c>
      <x:c r="F139" s="71" t="str">
        <x:v>R$ 390,90</x:v>
      </x:c>
      <x:c r="G139" s="71" t="str">
        <x:v>pt-BR</x:v>
      </x:c>
    </x:row>
    <x:row r="140" ht="27" customHeight="1">
      <x:c r="A140" s="71" t="str">
        <x:v>巴西</x:v>
      </x:c>
      <x:c r="B140" s="71" t="str">
        <x:v>第2组</x:v>
      </x:c>
      <x:c r="C140" s="71" t="str">
        <x:v>BRL</x:v>
      </x:c>
      <x:c r="D140" s="71" t="str">
        <x:v>新Pro／年</x:v>
      </x:c>
      <x:c r="E140" s="73" t="n">
        <x:v>730.8</x:v>
      </x:c>
      <x:c r="F140" s="71" t="str">
        <x:v>R$ 730,80</x:v>
      </x:c>
      <x:c r="G140" s="71" t="str">
        <x:v>pt-BR</x:v>
      </x:c>
    </x:row>
    <x:row r="141" ht="27" customHeight="1">
      <x:c r="A141" s="71" t="str">
        <x:v>巴西</x:v>
      </x:c>
      <x:c r="B141" s="71" t="str">
        <x:v>第2组</x:v>
      </x:c>
      <x:c r="C141" s="71" t="str">
        <x:v>BRL</x:v>
      </x:c>
      <x:c r="D141" s="71" t="str">
        <x:v>作业包／3份</x:v>
      </x:c>
      <x:c r="E141" s="73" t="n">
        <x:v>19.9</x:v>
      </x:c>
      <x:c r="F141" s="71" t="str">
        <x:v>R$ 19,90</x:v>
      </x:c>
      <x:c r="G141" s="71" t="str">
        <x:v>pt-BR</x:v>
      </x:c>
    </x:row>
    <x:row r="142" ht="27" customHeight="1">
      <x:c r="A142" s="71" t="str">
        <x:v>巴西</x:v>
      </x:c>
      <x:c r="B142" s="71" t="str">
        <x:v>第2组</x:v>
      </x:c>
      <x:c r="C142" s="71" t="str">
        <x:v>BRL</x:v>
      </x:c>
      <x:c r="D142" s="71" t="str">
        <x:v>检测包／5份</x:v>
      </x:c>
      <x:c r="E142" s="73" t="n">
        <x:v>9.9</x:v>
      </x:c>
      <x:c r="F142" s="71" t="str">
        <x:v>R$ 9,90</x:v>
      </x:c>
      <x:c r="G142" s="71" t="str">
        <x:v>pt-BR</x:v>
      </x:c>
    </x:row>
    <x:row r="143" ht="27" customHeight="1">
      <x:c r="A143" s="71" t="str">
        <x:v>巴西</x:v>
      </x:c>
      <x:c r="B143" s="71" t="str">
        <x:v>第2组</x:v>
      </x:c>
      <x:c r="C143" s="71" t="str">
        <x:v>BRL</x:v>
      </x:c>
      <x:c r="D143" s="71" t="str">
        <x:v>Humanizer包／3份</x:v>
      </x:c>
      <x:c r="E143" s="73" t="n">
        <x:v>13.9</x:v>
      </x:c>
      <x:c r="F143" s="71" t="str">
        <x:v>R$ 13,90</x:v>
      </x:c>
      <x:c r="G143" s="71" t="str">
        <x:v>pt-BR</x:v>
      </x:c>
    </x:row>
    <x:row r="144" ht="27" customHeight="1">
      <x:c r="A144" s="71" t="str">
        <x:v>巴西</x:v>
      </x:c>
      <x:c r="B144" s="71" t="str">
        <x:v>第2组</x:v>
      </x:c>
      <x:c r="C144" s="71" t="str">
        <x:v>BRL</x:v>
      </x:c>
      <x:c r="D144" s="71" t="str">
        <x:v>Study Pass／月</x:v>
      </x:c>
      <x:c r="E144" s="73" t="n">
        <x:v>3.1</x:v>
      </x:c>
      <x:c r="F144" s="71" t="str">
        <x:v>R$ 3,10</x:v>
      </x:c>
      <x:c r="G144" s="71" t="str">
        <x:v>pt-BR</x:v>
      </x:c>
    </x:row>
    <x:row r="145" ht="27" customHeight="1">
      <x:c r="A145" s="71" t="str">
        <x:v>越南</x:v>
      </x:c>
      <x:c r="B145" s="71" t="str">
        <x:v>第2组</x:v>
      </x:c>
      <x:c r="C145" s="71" t="str">
        <x:v>VND</x:v>
      </x:c>
      <x:c r="D145" s="71" t="str">
        <x:v>Trial／7天</x:v>
      </x:c>
      <x:c r="E145" s="72" t="n">
        <x:v>19000</x:v>
      </x:c>
      <x:c r="F145" s="71" t="str">
        <x:v>19.000 ₫</x:v>
      </x:c>
      <x:c r="G145" s="71" t="str">
        <x:v>vi-VN</x:v>
      </x:c>
    </x:row>
    <x:row r="146" ht="27" customHeight="1">
      <x:c r="A146" s="71" t="str">
        <x:v>越南</x:v>
      </x:c>
      <x:c r="B146" s="71" t="str">
        <x:v>第2组</x:v>
      </x:c>
      <x:c r="C146" s="71" t="str">
        <x:v>VND</x:v>
      </x:c>
      <x:c r="D146" s="71" t="str">
        <x:v>Basic／月</x:v>
      </x:c>
      <x:c r="E146" s="72" t="n">
        <x:v>129000</x:v>
      </x:c>
      <x:c r="F146" s="71" t="str">
        <x:v>129.000 ₫</x:v>
      </x:c>
      <x:c r="G146" s="71" t="str">
        <x:v>vi-VN</x:v>
      </x:c>
    </x:row>
    <x:row r="147" ht="27" customHeight="1">
      <x:c r="A147" s="71" t="str">
        <x:v>越南</x:v>
      </x:c>
      <x:c r="B147" s="71" t="str">
        <x:v>第2组</x:v>
      </x:c>
      <x:c r="C147" s="71" t="str">
        <x:v>VND</x:v>
      </x:c>
      <x:c r="D147" s="71" t="str">
        <x:v>Plus／月</x:v>
      </x:c>
      <x:c r="E147" s="72" t="n">
        <x:v>259000</x:v>
      </x:c>
      <x:c r="F147" s="71" t="str">
        <x:v>259.000 ₫</x:v>
      </x:c>
      <x:c r="G147" s="71" t="str">
        <x:v>vi-VN</x:v>
      </x:c>
    </x:row>
    <x:row r="148" ht="27" customHeight="1">
      <x:c r="A148" s="71" t="str">
        <x:v>越南</x:v>
      </x:c>
      <x:c r="B148" s="71" t="str">
        <x:v>第2组</x:v>
      </x:c>
      <x:c r="C148" s="71" t="str">
        <x:v>VND</x:v>
      </x:c>
      <x:c r="D148" s="71" t="str">
        <x:v>新Pro／月</x:v>
      </x:c>
      <x:c r="E148" s="72" t="n">
        <x:v>189000</x:v>
      </x:c>
      <x:c r="F148" s="71" t="str">
        <x:v>189.000 ₫</x:v>
      </x:c>
      <x:c r="G148" s="71" t="str">
        <x:v>vi-VN</x:v>
      </x:c>
    </x:row>
    <x:row r="149" ht="27" customHeight="1">
      <x:c r="A149" s="71" t="str">
        <x:v>越南</x:v>
      </x:c>
      <x:c r="B149" s="71" t="str">
        <x:v>第2组</x:v>
      </x:c>
      <x:c r="C149" s="71" t="str">
        <x:v>VND</x:v>
      </x:c>
      <x:c r="D149" s="71" t="str">
        <x:v>Basic／年</x:v>
      </x:c>
      <x:c r="E149" s="72" t="n">
        <x:v>619000</x:v>
      </x:c>
      <x:c r="F149" s="71" t="str">
        <x:v>619.000 ₫</x:v>
      </x:c>
      <x:c r="G149" s="71" t="str">
        <x:v>vi-VN</x:v>
      </x:c>
    </x:row>
    <x:row r="150" ht="27" customHeight="1">
      <x:c r="A150" s="71" t="str">
        <x:v>越南</x:v>
      </x:c>
      <x:c r="B150" s="71" t="str">
        <x:v>第2组</x:v>
      </x:c>
      <x:c r="C150" s="71" t="str">
        <x:v>VND</x:v>
      </x:c>
      <x:c r="D150" s="71" t="str">
        <x:v>Plus／年</x:v>
      </x:c>
      <x:c r="E150" s="72" t="n">
        <x:v>1239000</x:v>
      </x:c>
      <x:c r="F150" s="71" t="str">
        <x:v>1.239.000 ₫</x:v>
      </x:c>
      <x:c r="G150" s="71" t="str">
        <x:v>vi-VN</x:v>
      </x:c>
    </x:row>
    <x:row r="151" ht="27" customHeight="1">
      <x:c r="A151" s="71" t="str">
        <x:v>越南</x:v>
      </x:c>
      <x:c r="B151" s="71" t="str">
        <x:v>第2组</x:v>
      </x:c>
      <x:c r="C151" s="71" t="str">
        <x:v>VND</x:v>
      </x:c>
      <x:c r="D151" s="71" t="str">
        <x:v>新Pro／年</x:v>
      </x:c>
      <x:c r="E151" s="72" t="n">
        <x:v>2268000</x:v>
      </x:c>
      <x:c r="F151" s="71" t="str">
        <x:v>2.268.000 ₫</x:v>
      </x:c>
      <x:c r="G151" s="71" t="str">
        <x:v>vi-VN</x:v>
      </x:c>
    </x:row>
    <x:row r="152" ht="27" customHeight="1">
      <x:c r="A152" s="71" t="str">
        <x:v>越南</x:v>
      </x:c>
      <x:c r="B152" s="71" t="str">
        <x:v>第2组</x:v>
      </x:c>
      <x:c r="C152" s="71" t="str">
        <x:v>VND</x:v>
      </x:c>
      <x:c r="D152" s="71" t="str">
        <x:v>作业包／3份</x:v>
      </x:c>
      <x:c r="E152" s="72" t="n">
        <x:v>65000</x:v>
      </x:c>
      <x:c r="F152" s="71" t="str">
        <x:v>65.000 ₫</x:v>
      </x:c>
      <x:c r="G152" s="71" t="str">
        <x:v>vi-VN</x:v>
      </x:c>
    </x:row>
    <x:row r="153" ht="27" customHeight="1">
      <x:c r="A153" s="71" t="str">
        <x:v>越南</x:v>
      </x:c>
      <x:c r="B153" s="71" t="str">
        <x:v>第2组</x:v>
      </x:c>
      <x:c r="C153" s="71" t="str">
        <x:v>VND</x:v>
      </x:c>
      <x:c r="D153" s="71" t="str">
        <x:v>检测包／5份</x:v>
      </x:c>
      <x:c r="E153" s="72" t="n">
        <x:v>32000</x:v>
      </x:c>
      <x:c r="F153" s="71" t="str">
        <x:v>32.000 ₫</x:v>
      </x:c>
      <x:c r="G153" s="71" t="str">
        <x:v>vi-VN</x:v>
      </x:c>
    </x:row>
    <x:row r="154" ht="27" customHeight="1">
      <x:c r="A154" s="71" t="str">
        <x:v>越南</x:v>
      </x:c>
      <x:c r="B154" s="71" t="str">
        <x:v>第2组</x:v>
      </x:c>
      <x:c r="C154" s="71" t="str">
        <x:v>VND</x:v>
      </x:c>
      <x:c r="D154" s="71" t="str">
        <x:v>Humanizer包／3份</x:v>
      </x:c>
      <x:c r="E154" s="72" t="n">
        <x:v>45000</x:v>
      </x:c>
      <x:c r="F154" s="71" t="str">
        <x:v>45.000 ₫</x:v>
      </x:c>
      <x:c r="G154" s="71" t="str">
        <x:v>vi-VN</x:v>
      </x:c>
    </x:row>
    <x:row r="155" ht="27" customHeight="1">
      <x:c r="A155" s="71" t="str">
        <x:v>越南</x:v>
      </x:c>
      <x:c r="B155" s="71" t="str">
        <x:v>第2组</x:v>
      </x:c>
      <x:c r="C155" s="71" t="str">
        <x:v>VND</x:v>
      </x:c>
      <x:c r="D155" s="71" t="str">
        <x:v>Study Pass／月</x:v>
      </x:c>
      <x:c r="E155" s="72" t="n">
        <x:v>15500</x:v>
      </x:c>
      <x:c r="F155" s="71" t="str">
        <x:v>15.500 ₫</x:v>
      </x:c>
      <x:c r="G155" s="71" t="str">
        <x:v>vi-VN</x:v>
      </x:c>
    </x:row>
    <x:row r="156" ht="27" customHeight="1">
      <x:c r="A156" s="71" t="str">
        <x:v>阿根廷</x:v>
      </x:c>
      <x:c r="B156" s="71" t="str">
        <x:v>第2组</x:v>
      </x:c>
      <x:c r="C156" s="71" t="str">
        <x:v>ARS</x:v>
      </x:c>
      <x:c r="D156" s="71" t="str">
        <x:v>Trial／7天</x:v>
      </x:c>
      <x:c r="E156" s="72" t="n">
        <x:v>1799</x:v>
      </x:c>
      <x:c r="F156" s="71" t="str">
        <x:v>$ 1.799</x:v>
      </x:c>
      <x:c r="G156" s="71" t="str">
        <x:v>es-AR</x:v>
      </x:c>
    </x:row>
    <x:row r="157" ht="27" customHeight="1">
      <x:c r="A157" s="71" t="str">
        <x:v>阿根廷</x:v>
      </x:c>
      <x:c r="B157" s="71" t="str">
        <x:v>第2组</x:v>
      </x:c>
      <x:c r="C157" s="71" t="str">
        <x:v>ARS</x:v>
      </x:c>
      <x:c r="D157" s="71" t="str">
        <x:v>Basic／月</x:v>
      </x:c>
      <x:c r="E157" s="72" t="n">
        <x:v>11900</x:v>
      </x:c>
      <x:c r="F157" s="71" t="str">
        <x:v>$ 11.900</x:v>
      </x:c>
      <x:c r="G157" s="71" t="str">
        <x:v>es-AR</x:v>
      </x:c>
    </x:row>
    <x:row r="158" ht="27" customHeight="1">
      <x:c r="A158" s="71" t="str">
        <x:v>阿根廷</x:v>
      </x:c>
      <x:c r="B158" s="71" t="str">
        <x:v>第2组</x:v>
      </x:c>
      <x:c r="C158" s="71" t="str">
        <x:v>ARS</x:v>
      </x:c>
      <x:c r="D158" s="71" t="str">
        <x:v>Plus／月</x:v>
      </x:c>
      <x:c r="E158" s="72" t="n">
        <x:v>23900</x:v>
      </x:c>
      <x:c r="F158" s="71" t="str">
        <x:v>$ 23.900</x:v>
      </x:c>
      <x:c r="G158" s="71" t="str">
        <x:v>es-AR</x:v>
      </x:c>
    </x:row>
    <x:row r="159" ht="27" customHeight="1">
      <x:c r="A159" s="71" t="str">
        <x:v>阿根廷</x:v>
      </x:c>
      <x:c r="B159" s="71" t="str">
        <x:v>第2组</x:v>
      </x:c>
      <x:c r="C159" s="71" t="str">
        <x:v>ARS</x:v>
      </x:c>
      <x:c r="D159" s="71" t="str">
        <x:v>新Pro／月</x:v>
      </x:c>
      <x:c r="E159" s="72" t="n">
        <x:v>17900</x:v>
      </x:c>
      <x:c r="F159" s="71" t="str">
        <x:v>$ 17.900</x:v>
      </x:c>
      <x:c r="G159" s="71" t="str">
        <x:v>es-AR</x:v>
      </x:c>
    </x:row>
    <x:row r="160" ht="27" customHeight="1">
      <x:c r="A160" s="71" t="str">
        <x:v>阿根廷</x:v>
      </x:c>
      <x:c r="B160" s="71" t="str">
        <x:v>第2组</x:v>
      </x:c>
      <x:c r="C160" s="71" t="str">
        <x:v>ARS</x:v>
      </x:c>
      <x:c r="D160" s="71" t="str">
        <x:v>Basic／年</x:v>
      </x:c>
      <x:c r="E160" s="72" t="n">
        <x:v>57900</x:v>
      </x:c>
      <x:c r="F160" s="71" t="str">
        <x:v>$ 57.900</x:v>
      </x:c>
      <x:c r="G160" s="71" t="str">
        <x:v>es-AR</x:v>
      </x:c>
    </x:row>
    <x:row r="161" ht="27" customHeight="1">
      <x:c r="A161" s="71" t="str">
        <x:v>阿根廷</x:v>
      </x:c>
      <x:c r="B161" s="71" t="str">
        <x:v>第2组</x:v>
      </x:c>
      <x:c r="C161" s="71" t="str">
        <x:v>ARS</x:v>
      </x:c>
      <x:c r="D161" s="71" t="str">
        <x:v>Plus／年</x:v>
      </x:c>
      <x:c r="E161" s="72" t="n">
        <x:v>115900</x:v>
      </x:c>
      <x:c r="F161" s="71" t="str">
        <x:v>$ 115.900</x:v>
      </x:c>
      <x:c r="G161" s="71" t="str">
        <x:v>es-AR</x:v>
      </x:c>
    </x:row>
    <x:row r="162" ht="27" customHeight="1">
      <x:c r="A162" s="71" t="str">
        <x:v>阿根廷</x:v>
      </x:c>
      <x:c r="B162" s="71" t="str">
        <x:v>第2组</x:v>
      </x:c>
      <x:c r="C162" s="71" t="str">
        <x:v>ARS</x:v>
      </x:c>
      <x:c r="D162" s="71" t="str">
        <x:v>新Pro／年</x:v>
      </x:c>
      <x:c r="E162" s="72" t="n">
        <x:v>214800</x:v>
      </x:c>
      <x:c r="F162" s="71" t="str">
        <x:v>$ 214.800</x:v>
      </x:c>
      <x:c r="G162" s="71" t="str">
        <x:v>es-AR</x:v>
      </x:c>
    </x:row>
    <x:row r="163" ht="27" customHeight="1">
      <x:c r="A163" s="71" t="str">
        <x:v>阿根廷</x:v>
      </x:c>
      <x:c r="B163" s="71" t="str">
        <x:v>第2组</x:v>
      </x:c>
      <x:c r="C163" s="71" t="str">
        <x:v>ARS</x:v>
      </x:c>
      <x:c r="D163" s="71" t="str">
        <x:v>作业包／3份</x:v>
      </x:c>
      <x:c r="E163" s="72" t="n">
        <x:v>6099</x:v>
      </x:c>
      <x:c r="F163" s="71" t="str">
        <x:v>$ 6.099</x:v>
      </x:c>
      <x:c r="G163" s="71" t="str">
        <x:v>es-AR</x:v>
      </x:c>
    </x:row>
    <x:row r="164" ht="27" customHeight="1">
      <x:c r="A164" s="71" t="str">
        <x:v>阿根廷</x:v>
      </x:c>
      <x:c r="B164" s="71" t="str">
        <x:v>第2组</x:v>
      </x:c>
      <x:c r="C164" s="71" t="str">
        <x:v>ARS</x:v>
      </x:c>
      <x:c r="D164" s="71" t="str">
        <x:v>检测包／5份</x:v>
      </x:c>
      <x:c r="E164" s="72" t="n">
        <x:v>2999</x:v>
      </x:c>
      <x:c r="F164" s="71" t="str">
        <x:v>$ 2.999</x:v>
      </x:c>
      <x:c r="G164" s="71" t="str">
        <x:v>es-AR</x:v>
      </x:c>
    </x:row>
    <x:row r="165" ht="27" customHeight="1">
      <x:c r="A165" s="71" t="str">
        <x:v>阿根廷</x:v>
      </x:c>
      <x:c r="B165" s="71" t="str">
        <x:v>第2组</x:v>
      </x:c>
      <x:c r="C165" s="71" t="str">
        <x:v>ARS</x:v>
      </x:c>
      <x:c r="D165" s="71" t="str">
        <x:v>Humanizer包／3份</x:v>
      </x:c>
      <x:c r="E165" s="72" t="n">
        <x:v>4199</x:v>
      </x:c>
      <x:c r="F165" s="71" t="str">
        <x:v>$ 4.199</x:v>
      </x:c>
      <x:c r="G165" s="71" t="str">
        <x:v>es-AR</x:v>
      </x:c>
    </x:row>
    <x:row r="166" ht="27" customHeight="1">
      <x:c r="A166" s="71" t="str">
        <x:v>阿根廷</x:v>
      </x:c>
      <x:c r="B166" s="71" t="str">
        <x:v>第2组</x:v>
      </x:c>
      <x:c r="C166" s="71" t="str">
        <x:v>ARS</x:v>
      </x:c>
      <x:c r="D166" s="71" t="str">
        <x:v>Study Pass／月</x:v>
      </x:c>
      <x:c r="E166" s="72" t="n">
        <x:v>900</x:v>
      </x:c>
      <x:c r="F166" s="71" t="str">
        <x:v>$ 900</x:v>
      </x:c>
      <x:c r="G166" s="71" t="str">
        <x:v>es-AR</x:v>
      </x:c>
    </x:row>
    <x:row r="167" ht="27" customHeight="1">
      <x:c r="A167" s="71" t="str">
        <x:v>澳大利亚</x:v>
      </x:c>
      <x:c r="B167" s="71" t="str">
        <x:v>第2组</x:v>
      </x:c>
      <x:c r="C167" s="71" t="str">
        <x:v>AUD</x:v>
      </x:c>
      <x:c r="D167" s="71" t="str">
        <x:v>Trial／7天</x:v>
      </x:c>
      <x:c r="E167" s="73" t="n">
        <x:v>3.99</x:v>
      </x:c>
      <x:c r="F167" s="71" t="str">
        <x:v>$3.99</x:v>
      </x:c>
      <x:c r="G167" s="71" t="str">
        <x:v>en-AU</x:v>
      </x:c>
    </x:row>
    <x:row r="168" ht="27" customHeight="1">
      <x:c r="A168" s="71" t="str">
        <x:v>澳大利亚</x:v>
      </x:c>
      <x:c r="B168" s="71" t="str">
        <x:v>第2组</x:v>
      </x:c>
      <x:c r="C168" s="71" t="str">
        <x:v>AUD</x:v>
      </x:c>
      <x:c r="D168" s="71" t="str">
        <x:v>Basic／月</x:v>
      </x:c>
      <x:c r="E168" s="73" t="n">
        <x:v>26.99</x:v>
      </x:c>
      <x:c r="F168" s="71" t="str">
        <x:v>$26.99</x:v>
      </x:c>
      <x:c r="G168" s="71" t="str">
        <x:v>en-AU</x:v>
      </x:c>
    </x:row>
    <x:row r="169" ht="27" customHeight="1">
      <x:c r="A169" s="71" t="str">
        <x:v>澳大利亚</x:v>
      </x:c>
      <x:c r="B169" s="71" t="str">
        <x:v>第2组</x:v>
      </x:c>
      <x:c r="C169" s="71" t="str">
        <x:v>AUD</x:v>
      </x:c>
      <x:c r="D169" s="71" t="str">
        <x:v>Plus／月</x:v>
      </x:c>
      <x:c r="E169" s="73" t="n">
        <x:v>54.99</x:v>
      </x:c>
      <x:c r="F169" s="71" t="str">
        <x:v>$54.99</x:v>
      </x:c>
      <x:c r="G169" s="71" t="str">
        <x:v>en-AU</x:v>
      </x:c>
    </x:row>
    <x:row r="170" ht="27" customHeight="1">
      <x:c r="A170" s="71" t="str">
        <x:v>澳大利亚</x:v>
      </x:c>
      <x:c r="B170" s="71" t="str">
        <x:v>第2组</x:v>
      </x:c>
      <x:c r="C170" s="71" t="str">
        <x:v>AUD</x:v>
      </x:c>
      <x:c r="D170" s="71" t="str">
        <x:v>新Pro／月</x:v>
      </x:c>
      <x:c r="E170" s="73" t="n">
        <x:v>40.99</x:v>
      </x:c>
      <x:c r="F170" s="71" t="str">
        <x:v>$40.99</x:v>
      </x:c>
      <x:c r="G170" s="71" t="str">
        <x:v>en-AU</x:v>
      </x:c>
    </x:row>
    <x:row r="171" ht="27" customHeight="1">
      <x:c r="A171" s="71" t="str">
        <x:v>澳大利亚</x:v>
      </x:c>
      <x:c r="B171" s="71" t="str">
        <x:v>第2组</x:v>
      </x:c>
      <x:c r="C171" s="71" t="str">
        <x:v>AUD</x:v>
      </x:c>
      <x:c r="D171" s="71" t="str">
        <x:v>Basic／年</x:v>
      </x:c>
      <x:c r="E171" s="73" t="n">
        <x:v>130.99</x:v>
      </x:c>
      <x:c r="F171" s="71" t="str">
        <x:v>$130.99</x:v>
      </x:c>
      <x:c r="G171" s="71" t="str">
        <x:v>en-AU</x:v>
      </x:c>
    </x:row>
    <x:row r="172" ht="27" customHeight="1">
      <x:c r="A172" s="71" t="str">
        <x:v>澳大利亚</x:v>
      </x:c>
      <x:c r="B172" s="71" t="str">
        <x:v>第2组</x:v>
      </x:c>
      <x:c r="C172" s="71" t="str">
        <x:v>AUD</x:v>
      </x:c>
      <x:c r="D172" s="71" t="str">
        <x:v>Plus／年</x:v>
      </x:c>
      <x:c r="E172" s="73" t="n">
        <x:v>261.99</x:v>
      </x:c>
      <x:c r="F172" s="71" t="str">
        <x:v>$261.99</x:v>
      </x:c>
      <x:c r="G172" s="71" t="str">
        <x:v>en-AU</x:v>
      </x:c>
    </x:row>
    <x:row r="173" ht="27" customHeight="1">
      <x:c r="A173" s="71" t="str">
        <x:v>澳大利亚</x:v>
      </x:c>
      <x:c r="B173" s="71" t="str">
        <x:v>第2组</x:v>
      </x:c>
      <x:c r="C173" s="71" t="str">
        <x:v>AUD</x:v>
      </x:c>
      <x:c r="D173" s="71" t="str">
        <x:v>新Pro／年</x:v>
      </x:c>
      <x:c r="E173" s="73" t="n">
        <x:v>491.88</x:v>
      </x:c>
      <x:c r="F173" s="71" t="str">
        <x:v>$491.88</x:v>
      </x:c>
      <x:c r="G173" s="71" t="str">
        <x:v>en-AU</x:v>
      </x:c>
    </x:row>
    <x:row r="174" ht="27" customHeight="1">
      <x:c r="A174" s="71" t="str">
        <x:v>澳大利亚</x:v>
      </x:c>
      <x:c r="B174" s="71" t="str">
        <x:v>第2组</x:v>
      </x:c>
      <x:c r="C174" s="71" t="str">
        <x:v>AUD</x:v>
      </x:c>
      <x:c r="D174" s="71" t="str">
        <x:v>作业包／3份</x:v>
      </x:c>
      <x:c r="E174" s="73" t="n">
        <x:v>13.99</x:v>
      </x:c>
      <x:c r="F174" s="71" t="str">
        <x:v>$13.99</x:v>
      </x:c>
      <x:c r="G174" s="71" t="str">
        <x:v>en-AU</x:v>
      </x:c>
    </x:row>
    <x:row r="175" ht="27" customHeight="1">
      <x:c r="A175" s="71" t="str">
        <x:v>澳大利亚</x:v>
      </x:c>
      <x:c r="B175" s="71" t="str">
        <x:v>第2组</x:v>
      </x:c>
      <x:c r="C175" s="71" t="str">
        <x:v>AUD</x:v>
      </x:c>
      <x:c r="D175" s="71" t="str">
        <x:v>检测包／5份</x:v>
      </x:c>
      <x:c r="E175" s="73" t="n">
        <x:v>6.99</x:v>
      </x:c>
      <x:c r="F175" s="71" t="str">
        <x:v>$6.99</x:v>
      </x:c>
      <x:c r="G175" s="71" t="str">
        <x:v>en-AU</x:v>
      </x:c>
    </x:row>
    <x:row r="176" ht="27" customHeight="1">
      <x:c r="A176" s="71" t="str">
        <x:v>澳大利亚</x:v>
      </x:c>
      <x:c r="B176" s="71" t="str">
        <x:v>第2组</x:v>
      </x:c>
      <x:c r="C176" s="71" t="str">
        <x:v>AUD</x:v>
      </x:c>
      <x:c r="D176" s="71" t="str">
        <x:v>Humanizer包／3份</x:v>
      </x:c>
      <x:c r="E176" s="73" t="n">
        <x:v>9.49</x:v>
      </x:c>
      <x:c r="F176" s="71" t="str">
        <x:v>$9.49</x:v>
      </x:c>
      <x:c r="G176" s="71" t="str">
        <x:v>en-AU</x:v>
      </x:c>
    </x:row>
    <x:row r="177" ht="27" customHeight="1">
      <x:c r="A177" s="71" t="str">
        <x:v>澳大利亚</x:v>
      </x:c>
      <x:c r="B177" s="71" t="str">
        <x:v>第2组</x:v>
      </x:c>
      <x:c r="C177" s="71" t="str">
        <x:v>AUD</x:v>
      </x:c>
      <x:c r="D177" s="71" t="str">
        <x:v>Study Pass／月</x:v>
      </x:c>
      <x:c r="E177" s="73" t="n">
        <x:v>1.4</x:v>
      </x:c>
      <x:c r="F177" s="71" t="str">
        <x:v>$1.40</x:v>
      </x:c>
      <x:c r="G177" s="71" t="str">
        <x:v>en-AU</x:v>
      </x:c>
    </x:row>
    <x:row r="178" ht="27" customHeight="1">
      <x:c r="A178" s="71" t="str">
        <x:v>马来西亚</x:v>
      </x:c>
      <x:c r="B178" s="71" t="str">
        <x:v>第2组</x:v>
      </x:c>
      <x:c r="C178" s="71" t="str">
        <x:v>MYR</x:v>
      </x:c>
      <x:c r="D178" s="71" t="str">
        <x:v>Trial／7天</x:v>
      </x:c>
      <x:c r="E178" s="73" t="n">
        <x:v>4.49</x:v>
      </x:c>
      <x:c r="F178" s="71" t="str">
        <x:v>RM 4.49</x:v>
      </x:c>
      <x:c r="G178" s="71" t="str">
        <x:v>ms-MY</x:v>
      </x:c>
    </x:row>
    <x:row r="179" ht="27" customHeight="1">
      <x:c r="A179" s="71" t="str">
        <x:v>马来西亚</x:v>
      </x:c>
      <x:c r="B179" s="71" t="str">
        <x:v>第2组</x:v>
      </x:c>
      <x:c r="C179" s="71" t="str">
        <x:v>MYR</x:v>
      </x:c>
      <x:c r="D179" s="71" t="str">
        <x:v>Basic／月</x:v>
      </x:c>
      <x:c r="E179" s="73" t="n">
        <x:v>28.99</x:v>
      </x:c>
      <x:c r="F179" s="71" t="str">
        <x:v>RM 28.99</x:v>
      </x:c>
      <x:c r="G179" s="71" t="str">
        <x:v>ms-MY</x:v>
      </x:c>
    </x:row>
    <x:row r="180" ht="27" customHeight="1">
      <x:c r="A180" s="71" t="str">
        <x:v>马来西亚</x:v>
      </x:c>
      <x:c r="B180" s="71" t="str">
        <x:v>第2组</x:v>
      </x:c>
      <x:c r="C180" s="71" t="str">
        <x:v>MYR</x:v>
      </x:c>
      <x:c r="D180" s="71" t="str">
        <x:v>Plus／月</x:v>
      </x:c>
      <x:c r="E180" s="73" t="n">
        <x:v>56.99</x:v>
      </x:c>
      <x:c r="F180" s="71" t="str">
        <x:v>RM 56.99</x:v>
      </x:c>
      <x:c r="G180" s="71" t="str">
        <x:v>ms-MY</x:v>
      </x:c>
    </x:row>
    <x:row r="181" ht="27" customHeight="1">
      <x:c r="A181" s="71" t="str">
        <x:v>马来西亚</x:v>
      </x:c>
      <x:c r="B181" s="71" t="str">
        <x:v>第2组</x:v>
      </x:c>
      <x:c r="C181" s="71" t="str">
        <x:v>MYR</x:v>
      </x:c>
      <x:c r="D181" s="71" t="str">
        <x:v>新Pro／月</x:v>
      </x:c>
      <x:c r="E181" s="73" t="n">
        <x:v>42.99</x:v>
      </x:c>
      <x:c r="F181" s="71" t="str">
        <x:v>RM 42.99</x:v>
      </x:c>
      <x:c r="G181" s="71" t="str">
        <x:v>ms-MY</x:v>
      </x:c>
    </x:row>
    <x:row r="182" ht="27" customHeight="1">
      <x:c r="A182" s="71" t="str">
        <x:v>马来西亚</x:v>
      </x:c>
      <x:c r="B182" s="71" t="str">
        <x:v>第2组</x:v>
      </x:c>
      <x:c r="C182" s="71" t="str">
        <x:v>MYR</x:v>
      </x:c>
      <x:c r="D182" s="71" t="str">
        <x:v>Basic／年</x:v>
      </x:c>
      <x:c r="E182" s="73" t="n">
        <x:v>136.99</x:v>
      </x:c>
      <x:c r="F182" s="71" t="str">
        <x:v>RM 136.99</x:v>
      </x:c>
      <x:c r="G182" s="71" t="str">
        <x:v>ms-MY</x:v>
      </x:c>
    </x:row>
    <x:row r="183" ht="27" customHeight="1">
      <x:c r="A183" s="71" t="str">
        <x:v>马来西亚</x:v>
      </x:c>
      <x:c r="B183" s="71" t="str">
        <x:v>第2组</x:v>
      </x:c>
      <x:c r="C183" s="71" t="str">
        <x:v>MYR</x:v>
      </x:c>
      <x:c r="D183" s="71" t="str">
        <x:v>Plus／年</x:v>
      </x:c>
      <x:c r="E183" s="73" t="n">
        <x:v>273.99</x:v>
      </x:c>
      <x:c r="F183" s="71" t="str">
        <x:v>RM 273.99</x:v>
      </x:c>
      <x:c r="G183" s="71" t="str">
        <x:v>ms-MY</x:v>
      </x:c>
    </x:row>
    <x:row r="184" ht="27" customHeight="1">
      <x:c r="A184" s="71" t="str">
        <x:v>马来西亚</x:v>
      </x:c>
      <x:c r="B184" s="71" t="str">
        <x:v>第2组</x:v>
      </x:c>
      <x:c r="C184" s="71" t="str">
        <x:v>MYR</x:v>
      </x:c>
      <x:c r="D184" s="71" t="str">
        <x:v>新Pro／年</x:v>
      </x:c>
      <x:c r="E184" s="73" t="n">
        <x:v>515.88</x:v>
      </x:c>
      <x:c r="F184" s="71" t="str">
        <x:v>RM 515.88</x:v>
      </x:c>
      <x:c r="G184" s="71" t="str">
        <x:v>ms-MY</x:v>
      </x:c>
    </x:row>
    <x:row r="185" ht="27" customHeight="1">
      <x:c r="A185" s="71" t="str">
        <x:v>马来西亚</x:v>
      </x:c>
      <x:c r="B185" s="71" t="str">
        <x:v>第2组</x:v>
      </x:c>
      <x:c r="C185" s="71" t="str">
        <x:v>MYR</x:v>
      </x:c>
      <x:c r="D185" s="71" t="str">
        <x:v>作业包／3份</x:v>
      </x:c>
      <x:c r="E185" s="73" t="n">
        <x:v>13.99</x:v>
      </x:c>
      <x:c r="F185" s="71" t="str">
        <x:v>RM 13.99</x:v>
      </x:c>
      <x:c r="G185" s="71" t="str">
        <x:v>ms-MY</x:v>
      </x:c>
    </x:row>
    <x:row r="186" ht="27" customHeight="1">
      <x:c r="A186" s="71" t="str">
        <x:v>马来西亚</x:v>
      </x:c>
      <x:c r="B186" s="71" t="str">
        <x:v>第2组</x:v>
      </x:c>
      <x:c r="C186" s="71" t="str">
        <x:v>MYR</x:v>
      </x:c>
      <x:c r="D186" s="71" t="str">
        <x:v>检测包／5份</x:v>
      </x:c>
      <x:c r="E186" s="73" t="n">
        <x:v>6.99</x:v>
      </x:c>
      <x:c r="F186" s="71" t="str">
        <x:v>RM 6.99</x:v>
      </x:c>
      <x:c r="G186" s="71" t="str">
        <x:v>ms-MY</x:v>
      </x:c>
    </x:row>
    <x:row r="187" ht="27" customHeight="1">
      <x:c r="A187" s="71" t="str">
        <x:v>马来西亚</x:v>
      </x:c>
      <x:c r="B187" s="71" t="str">
        <x:v>第2组</x:v>
      </x:c>
      <x:c r="C187" s="71" t="str">
        <x:v>MYR</x:v>
      </x:c>
      <x:c r="D187" s="71" t="str">
        <x:v>Humanizer包／3份</x:v>
      </x:c>
      <x:c r="E187" s="73" t="n">
        <x:v>9.99</x:v>
      </x:c>
      <x:c r="F187" s="71" t="str">
        <x:v>RM 9.99</x:v>
      </x:c>
      <x:c r="G187" s="71" t="str">
        <x:v>ms-MY</x:v>
      </x:c>
    </x:row>
    <x:row r="188" ht="27" customHeight="1">
      <x:c r="A188" s="71" t="str">
        <x:v>马来西亚</x:v>
      </x:c>
      <x:c r="B188" s="71" t="str">
        <x:v>第2组</x:v>
      </x:c>
      <x:c r="C188" s="71" t="str">
        <x:v>MYR</x:v>
      </x:c>
      <x:c r="D188" s="71" t="str">
        <x:v>Study Pass／月</x:v>
      </x:c>
      <x:c r="E188" s="73" t="n">
        <x:v>2.5</x:v>
      </x:c>
      <x:c r="F188" s="71" t="str">
        <x:v>RM 2.50</x:v>
      </x:c>
      <x:c r="G188" s="71" t="str">
        <x:v>ms-MY</x:v>
      </x:c>
    </x:row>
    <x:row r="189" ht="27" customHeight="1">
      <x:c r="A189" s="71" t="str">
        <x:v>哥伦比亚</x:v>
      </x:c>
      <x:c r="B189" s="71" t="str">
        <x:v>第2组</x:v>
      </x:c>
      <x:c r="C189" s="71" t="str">
        <x:v>COP</x:v>
      </x:c>
      <x:c r="D189" s="71" t="str">
        <x:v>Trial／7天</x:v>
      </x:c>
      <x:c r="E189" s="72" t="n">
        <x:v>3299</x:v>
      </x:c>
      <x:c r="F189" s="71" t="str">
        <x:v>$ 3.299</x:v>
      </x:c>
      <x:c r="G189" s="71" t="str">
        <x:v>es-CO</x:v>
      </x:c>
    </x:row>
    <x:row r="190" ht="27" customHeight="1">
      <x:c r="A190" s="71" t="str">
        <x:v>哥伦比亚</x:v>
      </x:c>
      <x:c r="B190" s="71" t="str">
        <x:v>第2组</x:v>
      </x:c>
      <x:c r="C190" s="71" t="str">
        <x:v>COP</x:v>
      </x:c>
      <x:c r="D190" s="71" t="str">
        <x:v>Basic／月</x:v>
      </x:c>
      <x:c r="E190" s="72" t="n">
        <x:v>21900</x:v>
      </x:c>
      <x:c r="F190" s="71" t="str">
        <x:v>$ 21.900</x:v>
      </x:c>
      <x:c r="G190" s="71" t="str">
        <x:v>es-CO</x:v>
      </x:c>
    </x:row>
    <x:row r="191" ht="27" customHeight="1">
      <x:c r="A191" s="71" t="str">
        <x:v>哥伦比亚</x:v>
      </x:c>
      <x:c r="B191" s="71" t="str">
        <x:v>第2组</x:v>
      </x:c>
      <x:c r="C191" s="71" t="str">
        <x:v>COP</x:v>
      </x:c>
      <x:c r="D191" s="71" t="str">
        <x:v>Plus／月</x:v>
      </x:c>
      <x:c r="E191" s="72" t="n">
        <x:v>44900</x:v>
      </x:c>
      <x:c r="F191" s="71" t="str">
        <x:v>$ 44.900</x:v>
      </x:c>
      <x:c r="G191" s="71" t="str">
        <x:v>es-CO</x:v>
      </x:c>
    </x:row>
    <x:row r="192" ht="27" customHeight="1">
      <x:c r="A192" s="71" t="str">
        <x:v>哥伦比亚</x:v>
      </x:c>
      <x:c r="B192" s="71" t="str">
        <x:v>第2组</x:v>
      </x:c>
      <x:c r="C192" s="71" t="str">
        <x:v>COP</x:v>
      </x:c>
      <x:c r="D192" s="71" t="str">
        <x:v>新Pro／月</x:v>
      </x:c>
      <x:c r="E192" s="72" t="n">
        <x:v>33900</x:v>
      </x:c>
      <x:c r="F192" s="71" t="str">
        <x:v>$ 33.900</x:v>
      </x:c>
      <x:c r="G192" s="71" t="str">
        <x:v>es-CO</x:v>
      </x:c>
    </x:row>
    <x:row r="193" ht="27" customHeight="1">
      <x:c r="A193" s="71" t="str">
        <x:v>哥伦比亚</x:v>
      </x:c>
      <x:c r="B193" s="71" t="str">
        <x:v>第2组</x:v>
      </x:c>
      <x:c r="C193" s="71" t="str">
        <x:v>COP</x:v>
      </x:c>
      <x:c r="D193" s="71" t="str">
        <x:v>Basic／年</x:v>
      </x:c>
      <x:c r="E193" s="72" t="n">
        <x:v>106900</x:v>
      </x:c>
      <x:c r="F193" s="71" t="str">
        <x:v>$ 106.900</x:v>
      </x:c>
      <x:c r="G193" s="71" t="str">
        <x:v>es-CO</x:v>
      </x:c>
    </x:row>
    <x:row r="194" ht="27" customHeight="1">
      <x:c r="A194" s="71" t="str">
        <x:v>哥伦比亚</x:v>
      </x:c>
      <x:c r="B194" s="71" t="str">
        <x:v>第2组</x:v>
      </x:c>
      <x:c r="C194" s="71" t="str">
        <x:v>COP</x:v>
      </x:c>
      <x:c r="D194" s="71" t="str">
        <x:v>Plus／年</x:v>
      </x:c>
      <x:c r="E194" s="72" t="n">
        <x:v>219000</x:v>
      </x:c>
      <x:c r="F194" s="71" t="str">
        <x:v>$ 219.000</x:v>
      </x:c>
      <x:c r="G194" s="71" t="str">
        <x:v>es-CO</x:v>
      </x:c>
    </x:row>
    <x:row r="195" ht="27" customHeight="1">
      <x:c r="A195" s="71" t="str">
        <x:v>哥伦比亚</x:v>
      </x:c>
      <x:c r="B195" s="71" t="str">
        <x:v>第2组</x:v>
      </x:c>
      <x:c r="C195" s="71" t="str">
        <x:v>COP</x:v>
      </x:c>
      <x:c r="D195" s="71" t="str">
        <x:v>新Pro／年</x:v>
      </x:c>
      <x:c r="E195" s="72" t="n">
        <x:v>406800</x:v>
      </x:c>
      <x:c r="F195" s="71" t="str">
        <x:v>$ 406.800</x:v>
      </x:c>
      <x:c r="G195" s="71" t="str">
        <x:v>es-CO</x:v>
      </x:c>
    </x:row>
    <x:row r="196" ht="27" customHeight="1">
      <x:c r="A196" s="71" t="str">
        <x:v>哥伦比亚</x:v>
      </x:c>
      <x:c r="B196" s="71" t="str">
        <x:v>第2组</x:v>
      </x:c>
      <x:c r="C196" s="71" t="str">
        <x:v>COP</x:v>
      </x:c>
      <x:c r="D196" s="71" t="str">
        <x:v>作业包／3份</x:v>
      </x:c>
      <x:c r="E196" s="72" t="n">
        <x:v>10900</x:v>
      </x:c>
      <x:c r="F196" s="71" t="str">
        <x:v>$ 10.900</x:v>
      </x:c>
      <x:c r="G196" s="71" t="str">
        <x:v>es-CO</x:v>
      </x:c>
    </x:row>
    <x:row r="197" ht="27" customHeight="1">
      <x:c r="A197" s="71" t="str">
        <x:v>哥伦比亚</x:v>
      </x:c>
      <x:c r="B197" s="71" t="str">
        <x:v>第2组</x:v>
      </x:c>
      <x:c r="C197" s="71" t="str">
        <x:v>COP</x:v>
      </x:c>
      <x:c r="D197" s="71" t="str">
        <x:v>检测包／5份</x:v>
      </x:c>
      <x:c r="E197" s="72" t="n">
        <x:v>5599</x:v>
      </x:c>
      <x:c r="F197" s="71" t="str">
        <x:v>$ 5.599</x:v>
      </x:c>
      <x:c r="G197" s="71" t="str">
        <x:v>es-CO</x:v>
      </x:c>
    </x:row>
    <x:row r="198" ht="27" customHeight="1">
      <x:c r="A198" s="71" t="str">
        <x:v>哥伦比亚</x:v>
      </x:c>
      <x:c r="B198" s="71" t="str">
        <x:v>第2组</x:v>
      </x:c>
      <x:c r="C198" s="71" t="str">
        <x:v>COP</x:v>
      </x:c>
      <x:c r="D198" s="71" t="str">
        <x:v>Humanizer包／3份</x:v>
      </x:c>
      <x:c r="E198" s="72" t="n">
        <x:v>7799</x:v>
      </x:c>
      <x:c r="F198" s="71" t="str">
        <x:v>$ 7.799</x:v>
      </x:c>
      <x:c r="G198" s="71" t="str">
        <x:v>es-CO</x:v>
      </x:c>
    </x:row>
    <x:row r="199" ht="27" customHeight="1">
      <x:c r="A199" s="71" t="str">
        <x:v>哥伦比亚</x:v>
      </x:c>
      <x:c r="B199" s="71" t="str">
        <x:v>第2组</x:v>
      </x:c>
      <x:c r="C199" s="71" t="str">
        <x:v>COP</x:v>
      </x:c>
      <x:c r="D199" s="71" t="str">
        <x:v>Study Pass／月</x:v>
      </x:c>
      <x:c r="E199" s="72" t="n">
        <x:v>1900</x:v>
      </x:c>
      <x:c r="F199" s="71" t="str">
        <x:v>$ 1.900</x:v>
      </x:c>
      <x:c r="G199" s="71" t="str">
        <x:v>es-CO</x:v>
      </x:c>
    </x:row>
    <x:row r="200" ht="27" customHeight="1">
      <x:c r="A200" s="71" t="str">
        <x:v>菲律宾</x:v>
      </x:c>
      <x:c r="B200" s="71" t="str">
        <x:v>第2组</x:v>
      </x:c>
      <x:c r="C200" s="71" t="str">
        <x:v>PHP</x:v>
      </x:c>
      <x:c r="D200" s="71" t="str">
        <x:v>Trial／7天</x:v>
      </x:c>
      <x:c r="E200" s="72" t="n">
        <x:v>59</x:v>
      </x:c>
      <x:c r="F200" s="71" t="str">
        <x:v>₱59</x:v>
      </x:c>
      <x:c r="G200" s="71" t="str">
        <x:v>en-PH</x:v>
      </x:c>
    </x:row>
    <x:row r="201" ht="27" customHeight="1">
      <x:c r="A201" s="71" t="str">
        <x:v>菲律宾</x:v>
      </x:c>
      <x:c r="B201" s="71" t="str">
        <x:v>第2组</x:v>
      </x:c>
      <x:c r="C201" s="71" t="str">
        <x:v>PHP</x:v>
      </x:c>
      <x:c r="D201" s="71" t="str">
        <x:v>Basic／月</x:v>
      </x:c>
      <x:c r="E201" s="72" t="n">
        <x:v>379</x:v>
      </x:c>
      <x:c r="F201" s="71" t="str">
        <x:v>₱379</x:v>
      </x:c>
      <x:c r="G201" s="71" t="str">
        <x:v>en-PH</x:v>
      </x:c>
    </x:row>
    <x:row r="202" ht="27" customHeight="1">
      <x:c r="A202" s="71" t="str">
        <x:v>菲律宾</x:v>
      </x:c>
      <x:c r="B202" s="71" t="str">
        <x:v>第2组</x:v>
      </x:c>
      <x:c r="C202" s="71" t="str">
        <x:v>PHP</x:v>
      </x:c>
      <x:c r="D202" s="71" t="str">
        <x:v>Plus／月</x:v>
      </x:c>
      <x:c r="E202" s="72" t="n">
        <x:v>759</x:v>
      </x:c>
      <x:c r="F202" s="71" t="str">
        <x:v>₱759</x:v>
      </x:c>
      <x:c r="G202" s="71" t="str">
        <x:v>en-PH</x:v>
      </x:c>
    </x:row>
    <x:row r="203" ht="27" customHeight="1">
      <x:c r="A203" s="71" t="str">
        <x:v>菲律宾</x:v>
      </x:c>
      <x:c r="B203" s="71" t="str">
        <x:v>第2组</x:v>
      </x:c>
      <x:c r="C203" s="71" t="str">
        <x:v>PHP</x:v>
      </x:c>
      <x:c r="D203" s="71" t="str">
        <x:v>新Pro／月</x:v>
      </x:c>
      <x:c r="E203" s="72" t="n">
        <x:v>569</x:v>
      </x:c>
      <x:c r="F203" s="71" t="str">
        <x:v>₱569</x:v>
      </x:c>
      <x:c r="G203" s="71" t="str">
        <x:v>en-PH</x:v>
      </x:c>
    </x:row>
    <x:row r="204" ht="27" customHeight="1">
      <x:c r="A204" s="71" t="str">
        <x:v>菲律宾</x:v>
      </x:c>
      <x:c r="B204" s="71" t="str">
        <x:v>第2组</x:v>
      </x:c>
      <x:c r="C204" s="71" t="str">
        <x:v>PHP</x:v>
      </x:c>
      <x:c r="D204" s="71" t="str">
        <x:v>Basic／年</x:v>
      </x:c>
      <x:c r="E204" s="72" t="n">
        <x:v>1799</x:v>
      </x:c>
      <x:c r="F204" s="71" t="str">
        <x:v>₱1,799</x:v>
      </x:c>
      <x:c r="G204" s="71" t="str">
        <x:v>en-PH</x:v>
      </x:c>
    </x:row>
    <x:row r="205" ht="27" customHeight="1">
      <x:c r="A205" s="71" t="str">
        <x:v>菲律宾</x:v>
      </x:c>
      <x:c r="B205" s="71" t="str">
        <x:v>第2组</x:v>
      </x:c>
      <x:c r="C205" s="71" t="str">
        <x:v>PHP</x:v>
      </x:c>
      <x:c r="D205" s="71" t="str">
        <x:v>Plus／年</x:v>
      </x:c>
      <x:c r="E205" s="72" t="n">
        <x:v>3599</x:v>
      </x:c>
      <x:c r="F205" s="71" t="str">
        <x:v>₱3,599</x:v>
      </x:c>
      <x:c r="G205" s="71" t="str">
        <x:v>en-PH</x:v>
      </x:c>
    </x:row>
    <x:row r="206" ht="27" customHeight="1">
      <x:c r="A206" s="71" t="str">
        <x:v>菲律宾</x:v>
      </x:c>
      <x:c r="B206" s="71" t="str">
        <x:v>第2组</x:v>
      </x:c>
      <x:c r="C206" s="71" t="str">
        <x:v>PHP</x:v>
      </x:c>
      <x:c r="D206" s="71" t="str">
        <x:v>新Pro／年</x:v>
      </x:c>
      <x:c r="E206" s="72" t="n">
        <x:v>6828</x:v>
      </x:c>
      <x:c r="F206" s="71" t="str">
        <x:v>₱6,828</x:v>
      </x:c>
      <x:c r="G206" s="71" t="str">
        <x:v>en-PH</x:v>
      </x:c>
    </x:row>
    <x:row r="207" ht="27" customHeight="1">
      <x:c r="A207" s="71" t="str">
        <x:v>菲律宾</x:v>
      </x:c>
      <x:c r="B207" s="71" t="str">
        <x:v>第2组</x:v>
      </x:c>
      <x:c r="C207" s="71" t="str">
        <x:v>PHP</x:v>
      </x:c>
      <x:c r="D207" s="71" t="str">
        <x:v>作业包／3份</x:v>
      </x:c>
      <x:c r="E207" s="72" t="n">
        <x:v>189</x:v>
      </x:c>
      <x:c r="F207" s="71" t="str">
        <x:v>₱189</x:v>
      </x:c>
      <x:c r="G207" s="71" t="str">
        <x:v>en-PH</x:v>
      </x:c>
    </x:row>
    <x:row r="208" ht="27" customHeight="1">
      <x:c r="A208" s="71" t="str">
        <x:v>菲律宾</x:v>
      </x:c>
      <x:c r="B208" s="71" t="str">
        <x:v>第2组</x:v>
      </x:c>
      <x:c r="C208" s="71" t="str">
        <x:v>PHP</x:v>
      </x:c>
      <x:c r="D208" s="71" t="str">
        <x:v>检测包／5份</x:v>
      </x:c>
      <x:c r="E208" s="72" t="n">
        <x:v>99</x:v>
      </x:c>
      <x:c r="F208" s="71" t="str">
        <x:v>₱99</x:v>
      </x:c>
      <x:c r="G208" s="71" t="str">
        <x:v>en-PH</x:v>
      </x:c>
    </x:row>
    <x:row r="209" ht="27" customHeight="1">
      <x:c r="A209" s="71" t="str">
        <x:v>菲律宾</x:v>
      </x:c>
      <x:c r="B209" s="71" t="str">
        <x:v>第2组</x:v>
      </x:c>
      <x:c r="C209" s="71" t="str">
        <x:v>PHP</x:v>
      </x:c>
      <x:c r="D209" s="71" t="str">
        <x:v>Humanizer包／3份</x:v>
      </x:c>
      <x:c r="E209" s="72" t="n">
        <x:v>129</x:v>
      </x:c>
      <x:c r="F209" s="71" t="str">
        <x:v>₱129</x:v>
      </x:c>
      <x:c r="G209" s="71" t="str">
        <x:v>en-PH</x:v>
      </x:c>
    </x:row>
    <x:row r="210" ht="27" customHeight="1">
      <x:c r="A210" s="71" t="str">
        <x:v>菲律宾</x:v>
      </x:c>
      <x:c r="B210" s="71" t="str">
        <x:v>第2组</x:v>
      </x:c>
      <x:c r="C210" s="71" t="str">
        <x:v>PHP</x:v>
      </x:c>
      <x:c r="D210" s="71" t="str">
        <x:v>Study Pass／月</x:v>
      </x:c>
      <x:c r="E210" s="72" t="n">
        <x:v>38</x:v>
      </x:c>
      <x:c r="F210" s="71" t="str">
        <x:v>₱38</x:v>
      </x:c>
      <x:c r="G210" s="71" t="str">
        <x:v>en-PH</x:v>
      </x:c>
    </x:row>
    <x:row r="211" ht="27" customHeight="1">
      <x:c r="A211" s="71" t="str">
        <x:v>英国</x:v>
      </x:c>
      <x:c r="B211" s="71" t="str">
        <x:v>第2组</x:v>
      </x:c>
      <x:c r="C211" s="71" t="str">
        <x:v>GBP</x:v>
      </x:c>
      <x:c r="D211" s="71" t="str">
        <x:v>Trial／7天</x:v>
      </x:c>
      <x:c r="E211" s="73" t="n">
        <x:v>1.99</x:v>
      </x:c>
      <x:c r="F211" s="71" t="str">
        <x:v>£1.99</x:v>
      </x:c>
      <x:c r="G211" s="71" t="str">
        <x:v>en-GB</x:v>
      </x:c>
    </x:row>
    <x:row r="212" ht="27" customHeight="1">
      <x:c r="A212" s="71" t="str">
        <x:v>英国</x:v>
      </x:c>
      <x:c r="B212" s="71" t="str">
        <x:v>第2组</x:v>
      </x:c>
      <x:c r="C212" s="71" t="str">
        <x:v>GBP</x:v>
      </x:c>
      <x:c r="D212" s="71" t="str">
        <x:v>Basic／月</x:v>
      </x:c>
      <x:c r="E212" s="73" t="n">
        <x:v>12.99</x:v>
      </x:c>
      <x:c r="F212" s="71" t="str">
        <x:v>£12.99</x:v>
      </x:c>
      <x:c r="G212" s="71" t="str">
        <x:v>en-GB</x:v>
      </x:c>
    </x:row>
    <x:row r="213" ht="27" customHeight="1">
      <x:c r="A213" s="71" t="str">
        <x:v>英国</x:v>
      </x:c>
      <x:c r="B213" s="71" t="str">
        <x:v>第2组</x:v>
      </x:c>
      <x:c r="C213" s="71" t="str">
        <x:v>GBP</x:v>
      </x:c>
      <x:c r="D213" s="71" t="str">
        <x:v>Plus／月</x:v>
      </x:c>
      <x:c r="E213" s="73" t="n">
        <x:v>25.99</x:v>
      </x:c>
      <x:c r="F213" s="71" t="str">
        <x:v>£25.99</x:v>
      </x:c>
      <x:c r="G213" s="71" t="str">
        <x:v>en-GB</x:v>
      </x:c>
    </x:row>
    <x:row r="214" ht="27" customHeight="1">
      <x:c r="A214" s="71" t="str">
        <x:v>英国</x:v>
      </x:c>
      <x:c r="B214" s="71" t="str">
        <x:v>第2组</x:v>
      </x:c>
      <x:c r="C214" s="71" t="str">
        <x:v>GBP</x:v>
      </x:c>
      <x:c r="D214" s="71" t="str">
        <x:v>新Pro／月</x:v>
      </x:c>
      <x:c r="E214" s="73" t="n">
        <x:v>18.99</x:v>
      </x:c>
      <x:c r="F214" s="71" t="str">
        <x:v>£18.99</x:v>
      </x:c>
      <x:c r="G214" s="71" t="str">
        <x:v>en-GB</x:v>
      </x:c>
    </x:row>
    <x:row r="215" ht="27" customHeight="1">
      <x:c r="A215" s="71" t="str">
        <x:v>英国</x:v>
      </x:c>
      <x:c r="B215" s="71" t="str">
        <x:v>第2组</x:v>
      </x:c>
      <x:c r="C215" s="71" t="str">
        <x:v>GBP</x:v>
      </x:c>
      <x:c r="D215" s="71" t="str">
        <x:v>Basic／年</x:v>
      </x:c>
      <x:c r="E215" s="73" t="n">
        <x:v>60.99</x:v>
      </x:c>
      <x:c r="F215" s="71" t="str">
        <x:v>£60.99</x:v>
      </x:c>
      <x:c r="G215" s="71" t="str">
        <x:v>en-GB</x:v>
      </x:c>
    </x:row>
    <x:row r="216" ht="27" customHeight="1">
      <x:c r="A216" s="71" t="str">
        <x:v>英国</x:v>
      </x:c>
      <x:c r="B216" s="71" t="str">
        <x:v>第2组</x:v>
      </x:c>
      <x:c r="C216" s="71" t="str">
        <x:v>GBP</x:v>
      </x:c>
      <x:c r="D216" s="71" t="str">
        <x:v>Plus／年</x:v>
      </x:c>
      <x:c r="E216" s="73" t="n">
        <x:v>121.99</x:v>
      </x:c>
      <x:c r="F216" s="71" t="str">
        <x:v>£121.99</x:v>
      </x:c>
      <x:c r="G216" s="71" t="str">
        <x:v>en-GB</x:v>
      </x:c>
    </x:row>
    <x:row r="217" ht="27" customHeight="1">
      <x:c r="A217" s="71" t="str">
        <x:v>英国</x:v>
      </x:c>
      <x:c r="B217" s="71" t="str">
        <x:v>第2组</x:v>
      </x:c>
      <x:c r="C217" s="71" t="str">
        <x:v>GBP</x:v>
      </x:c>
      <x:c r="D217" s="71" t="str">
        <x:v>新Pro／年</x:v>
      </x:c>
      <x:c r="E217" s="73" t="n">
        <x:v>227.88</x:v>
      </x:c>
      <x:c r="F217" s="71" t="str">
        <x:v>£227.88</x:v>
      </x:c>
      <x:c r="G217" s="71" t="str">
        <x:v>en-GB</x:v>
      </x:c>
    </x:row>
    <x:row r="218" ht="27" customHeight="1">
      <x:c r="A218" s="71" t="str">
        <x:v>英国</x:v>
      </x:c>
      <x:c r="B218" s="71" t="str">
        <x:v>第2组</x:v>
      </x:c>
      <x:c r="C218" s="71" t="str">
        <x:v>GBP</x:v>
      </x:c>
      <x:c r="D218" s="71" t="str">
        <x:v>作业包／3份</x:v>
      </x:c>
      <x:c r="E218" s="73" t="n">
        <x:v>6.49</x:v>
      </x:c>
      <x:c r="F218" s="71" t="str">
        <x:v>£6.49</x:v>
      </x:c>
      <x:c r="G218" s="71" t="str">
        <x:v>en-GB</x:v>
      </x:c>
    </x:row>
    <x:row r="219" ht="27" customHeight="1">
      <x:c r="A219" s="71" t="str">
        <x:v>英国</x:v>
      </x:c>
      <x:c r="B219" s="71" t="str">
        <x:v>第2组</x:v>
      </x:c>
      <x:c r="C219" s="71" t="str">
        <x:v>GBP</x:v>
      </x:c>
      <x:c r="D219" s="71" t="str">
        <x:v>检测包／5份</x:v>
      </x:c>
      <x:c r="E219" s="73" t="n">
        <x:v>2.99</x:v>
      </x:c>
      <x:c r="F219" s="71" t="str">
        <x:v>£2.99</x:v>
      </x:c>
      <x:c r="G219" s="71" t="str">
        <x:v>en-GB</x:v>
      </x:c>
    </x:row>
    <x:row r="220" ht="27" customHeight="1">
      <x:c r="A220" s="71" t="str">
        <x:v>英国</x:v>
      </x:c>
      <x:c r="B220" s="71" t="str">
        <x:v>第2组</x:v>
      </x:c>
      <x:c r="C220" s="71" t="str">
        <x:v>GBP</x:v>
      </x:c>
      <x:c r="D220" s="71" t="str">
        <x:v>Humanizer包／3份</x:v>
      </x:c>
      <x:c r="E220" s="73" t="n">
        <x:v>4.49</x:v>
      </x:c>
      <x:c r="F220" s="71" t="str">
        <x:v>£4.49</x:v>
      </x:c>
      <x:c r="G220" s="71" t="str">
        <x:v>en-GB</x:v>
      </x:c>
    </x:row>
    <x:row r="221" ht="27" customHeight="1">
      <x:c r="A221" s="71" t="str">
        <x:v>英国</x:v>
      </x:c>
      <x:c r="B221" s="71" t="str">
        <x:v>第2组</x:v>
      </x:c>
      <x:c r="C221" s="71" t="str">
        <x:v>GBP</x:v>
      </x:c>
      <x:c r="D221" s="71" t="str">
        <x:v>Study Pass／月</x:v>
      </x:c>
      <x:c r="E221" s="73" t="n">
        <x:v>0.65</x:v>
      </x:c>
      <x:c r="F221" s="71" t="str">
        <x:v>£0.65</x:v>
      </x:c>
      <x:c r="G221" s="71" t="str">
        <x:v>en-GB</x:v>
      </x:c>
    </x:row>
    <x:row r="222" ht="27" customHeight="1">
      <x:c r="A222" s="71" t="str">
        <x:v>加拿大</x:v>
      </x:c>
      <x:c r="B222" s="71" t="str">
        <x:v>第2组</x:v>
      </x:c>
      <x:c r="C222" s="71" t="str">
        <x:v>CAD</x:v>
      </x:c>
      <x:c r="D222" s="71" t="str">
        <x:v>Trial／7天</x:v>
      </x:c>
      <x:c r="E222" s="73" t="n">
        <x:v>3.99</x:v>
      </x:c>
      <x:c r="F222" s="71" t="str">
        <x:v>$3.99</x:v>
      </x:c>
      <x:c r="G222" s="71" t="str">
        <x:v>en-CA</x:v>
      </x:c>
    </x:row>
    <x:row r="223" ht="27" customHeight="1">
      <x:c r="A223" s="71" t="str">
        <x:v>加拿大</x:v>
      </x:c>
      <x:c r="B223" s="71" t="str">
        <x:v>第2组</x:v>
      </x:c>
      <x:c r="C223" s="71" t="str">
        <x:v>CAD</x:v>
      </x:c>
      <x:c r="D223" s="71" t="str">
        <x:v>Basic／月</x:v>
      </x:c>
      <x:c r="E223" s="73" t="n">
        <x:v>24.99</x:v>
      </x:c>
      <x:c r="F223" s="71" t="str">
        <x:v>$24.99</x:v>
      </x:c>
      <x:c r="G223" s="71" t="str">
        <x:v>en-CA</x:v>
      </x:c>
    </x:row>
    <x:row r="224" ht="27" customHeight="1">
      <x:c r="A224" s="71" t="str">
        <x:v>加拿大</x:v>
      </x:c>
      <x:c r="B224" s="71" t="str">
        <x:v>第2组</x:v>
      </x:c>
      <x:c r="C224" s="71" t="str">
        <x:v>CAD</x:v>
      </x:c>
      <x:c r="D224" s="71" t="str">
        <x:v>Plus／月</x:v>
      </x:c>
      <x:c r="E224" s="73" t="n">
        <x:v>50.99</x:v>
      </x:c>
      <x:c r="F224" s="71" t="str">
        <x:v>$50.99</x:v>
      </x:c>
      <x:c r="G224" s="71" t="str">
        <x:v>en-CA</x:v>
      </x:c>
    </x:row>
    <x:row r="225" ht="27" customHeight="1">
      <x:c r="A225" s="71" t="str">
        <x:v>加拿大</x:v>
      </x:c>
      <x:c r="B225" s="71" t="str">
        <x:v>第2组</x:v>
      </x:c>
      <x:c r="C225" s="71" t="str">
        <x:v>CAD</x:v>
      </x:c>
      <x:c r="D225" s="71" t="str">
        <x:v>新Pro／月</x:v>
      </x:c>
      <x:c r="E225" s="73" t="n">
        <x:v>37.99</x:v>
      </x:c>
      <x:c r="F225" s="71" t="str">
        <x:v>$37.99</x:v>
      </x:c>
      <x:c r="G225" s="71" t="str">
        <x:v>en-CA</x:v>
      </x:c>
    </x:row>
    <x:row r="226" ht="27" customHeight="1">
      <x:c r="A226" s="71" t="str">
        <x:v>加拿大</x:v>
      </x:c>
      <x:c r="B226" s="71" t="str">
        <x:v>第2组</x:v>
      </x:c>
      <x:c r="C226" s="71" t="str">
        <x:v>CAD</x:v>
      </x:c>
      <x:c r="D226" s="71" t="str">
        <x:v>Basic／年</x:v>
      </x:c>
      <x:c r="E226" s="73" t="n">
        <x:v>121.99</x:v>
      </x:c>
      <x:c r="F226" s="71" t="str">
        <x:v>$121.99</x:v>
      </x:c>
      <x:c r="G226" s="71" t="str">
        <x:v>en-CA</x:v>
      </x:c>
    </x:row>
    <x:row r="227" ht="27" customHeight="1">
      <x:c r="A227" s="71" t="str">
        <x:v>加拿大</x:v>
      </x:c>
      <x:c r="B227" s="71" t="str">
        <x:v>第2组</x:v>
      </x:c>
      <x:c r="C227" s="71" t="str">
        <x:v>CAD</x:v>
      </x:c>
      <x:c r="D227" s="71" t="str">
        <x:v>Plus／年</x:v>
      </x:c>
      <x:c r="E227" s="73" t="n">
        <x:v>243.99</x:v>
      </x:c>
      <x:c r="F227" s="71" t="str">
        <x:v>$243.99</x:v>
      </x:c>
      <x:c r="G227" s="71" t="str">
        <x:v>en-CA</x:v>
      </x:c>
    </x:row>
    <x:row r="228" ht="27" customHeight="1">
      <x:c r="A228" s="71" t="str">
        <x:v>加拿大</x:v>
      </x:c>
      <x:c r="B228" s="71" t="str">
        <x:v>第2组</x:v>
      </x:c>
      <x:c r="C228" s="71" t="str">
        <x:v>CAD</x:v>
      </x:c>
      <x:c r="D228" s="71" t="str">
        <x:v>新Pro／年</x:v>
      </x:c>
      <x:c r="E228" s="73" t="n">
        <x:v>455.88</x:v>
      </x:c>
      <x:c r="F228" s="71" t="str">
        <x:v>$455.88</x:v>
      </x:c>
      <x:c r="G228" s="71" t="str">
        <x:v>en-CA</x:v>
      </x:c>
    </x:row>
    <x:row r="229" ht="27" customHeight="1">
      <x:c r="A229" s="71" t="str">
        <x:v>加拿大</x:v>
      </x:c>
      <x:c r="B229" s="71" t="str">
        <x:v>第2组</x:v>
      </x:c>
      <x:c r="C229" s="71" t="str">
        <x:v>CAD</x:v>
      </x:c>
      <x:c r="D229" s="71" t="str">
        <x:v>作业包／3份</x:v>
      </x:c>
      <x:c r="E229" s="73" t="n">
        <x:v>12.99</x:v>
      </x:c>
      <x:c r="F229" s="71" t="str">
        <x:v>$12.99</x:v>
      </x:c>
      <x:c r="G229" s="71" t="str">
        <x:v>en-CA</x:v>
      </x:c>
    </x:row>
    <x:row r="230" ht="27" customHeight="1">
      <x:c r="A230" s="71" t="str">
        <x:v>加拿大</x:v>
      </x:c>
      <x:c r="B230" s="71" t="str">
        <x:v>第2组</x:v>
      </x:c>
      <x:c r="C230" s="71" t="str">
        <x:v>CAD</x:v>
      </x:c>
      <x:c r="D230" s="71" t="str">
        <x:v>检测包／5份</x:v>
      </x:c>
      <x:c r="E230" s="73" t="n">
        <x:v>6.49</x:v>
      </x:c>
      <x:c r="F230" s="71" t="str">
        <x:v>$6.49</x:v>
      </x:c>
      <x:c r="G230" s="71" t="str">
        <x:v>en-CA</x:v>
      </x:c>
    </x:row>
    <x:row r="231" ht="27" customHeight="1">
      <x:c r="A231" s="71" t="str">
        <x:v>加拿大</x:v>
      </x:c>
      <x:c r="B231" s="71" t="str">
        <x:v>第2组</x:v>
      </x:c>
      <x:c r="C231" s="71" t="str">
        <x:v>CAD</x:v>
      </x:c>
      <x:c r="D231" s="71" t="str">
        <x:v>Humanizer包／3份</x:v>
      </x:c>
      <x:c r="E231" s="73" t="n">
        <x:v>8.99</x:v>
      </x:c>
      <x:c r="F231" s="71" t="str">
        <x:v>$8.99</x:v>
      </x:c>
      <x:c r="G231" s="71" t="str">
        <x:v>en-CA</x:v>
      </x:c>
    </x:row>
    <x:row r="232" ht="27" customHeight="1">
      <x:c r="A232" s="71" t="str">
        <x:v>加拿大</x:v>
      </x:c>
      <x:c r="B232" s="71" t="str">
        <x:v>第2组</x:v>
      </x:c>
      <x:c r="C232" s="71" t="str">
        <x:v>CAD</x:v>
      </x:c>
      <x:c r="D232" s="71" t="str">
        <x:v>Study Pass／月</x:v>
      </x:c>
      <x:c r="E232" s="73" t="n">
        <x:v>1.3</x:v>
      </x:c>
      <x:c r="F232" s="71" t="str">
        <x:v>$1.30</x:v>
      </x:c>
      <x:c r="G232" s="71" t="str">
        <x:v>en-CA</x:v>
      </x:c>
    </x:row>
    <x:row r="233" ht="27" customHeight="1">
      <x:c r="A233" s="71" t="str">
        <x:v>新加坡</x:v>
      </x:c>
      <x:c r="B233" s="71" t="str">
        <x:v>第2组</x:v>
      </x:c>
      <x:c r="C233" s="71" t="str">
        <x:v>SGD</x:v>
      </x:c>
      <x:c r="D233" s="71" t="str">
        <x:v>Trial／7天</x:v>
      </x:c>
      <x:c r="E233" s="73" t="n">
        <x:v>3.49</x:v>
      </x:c>
      <x:c r="F233" s="71" t="str">
        <x:v>$3.49</x:v>
      </x:c>
      <x:c r="G233" s="71" t="str">
        <x:v>en-SG</x:v>
      </x:c>
    </x:row>
    <x:row r="234" ht="27" customHeight="1">
      <x:c r="A234" s="71" t="str">
        <x:v>新加坡</x:v>
      </x:c>
      <x:c r="B234" s="71" t="str">
        <x:v>第2组</x:v>
      </x:c>
      <x:c r="C234" s="71" t="str">
        <x:v>SGD</x:v>
      </x:c>
      <x:c r="D234" s="71" t="str">
        <x:v>Basic／月</x:v>
      </x:c>
      <x:c r="E234" s="73" t="n">
        <x:v>22.99</x:v>
      </x:c>
      <x:c r="F234" s="71" t="str">
        <x:v>$22.99</x:v>
      </x:c>
      <x:c r="G234" s="71" t="str">
        <x:v>en-SG</x:v>
      </x:c>
    </x:row>
    <x:row r="235" ht="27" customHeight="1">
      <x:c r="A235" s="71" t="str">
        <x:v>新加坡</x:v>
      </x:c>
      <x:c r="B235" s="71" t="str">
        <x:v>第2组</x:v>
      </x:c>
      <x:c r="C235" s="71" t="str">
        <x:v>SGD</x:v>
      </x:c>
      <x:c r="D235" s="71" t="str">
        <x:v>Plus／月</x:v>
      </x:c>
      <x:c r="E235" s="73" t="n">
        <x:v>45.99</x:v>
      </x:c>
      <x:c r="F235" s="71" t="str">
        <x:v>$45.99</x:v>
      </x:c>
      <x:c r="G235" s="71" t="str">
        <x:v>en-SG</x:v>
      </x:c>
    </x:row>
    <x:row r="236" ht="27" customHeight="1">
      <x:c r="A236" s="71" t="str">
        <x:v>新加坡</x:v>
      </x:c>
      <x:c r="B236" s="71" t="str">
        <x:v>第2组</x:v>
      </x:c>
      <x:c r="C236" s="71" t="str">
        <x:v>SGD</x:v>
      </x:c>
      <x:c r="D236" s="71" t="str">
        <x:v>新Pro／月</x:v>
      </x:c>
      <x:c r="E236" s="73" t="n">
        <x:v>34.99</x:v>
      </x:c>
      <x:c r="F236" s="71" t="str">
        <x:v>$34.99</x:v>
      </x:c>
      <x:c r="G236" s="71" t="str">
        <x:v>en-SG</x:v>
      </x:c>
    </x:row>
    <x:row r="237" ht="27" customHeight="1">
      <x:c r="A237" s="71" t="str">
        <x:v>新加坡</x:v>
      </x:c>
      <x:c r="B237" s="71" t="str">
        <x:v>第2组</x:v>
      </x:c>
      <x:c r="C237" s="71" t="str">
        <x:v>SGD</x:v>
      </x:c>
      <x:c r="D237" s="71" t="str">
        <x:v>Basic／年</x:v>
      </x:c>
      <x:c r="E237" s="73" t="n">
        <x:v>109.99</x:v>
      </x:c>
      <x:c r="F237" s="71" t="str">
        <x:v>$109.99</x:v>
      </x:c>
      <x:c r="G237" s="71" t="str">
        <x:v>en-SG</x:v>
      </x:c>
    </x:row>
    <x:row r="238" ht="27" customHeight="1">
      <x:c r="A238" s="71" t="str">
        <x:v>新加坡</x:v>
      </x:c>
      <x:c r="B238" s="71" t="str">
        <x:v>第2组</x:v>
      </x:c>
      <x:c r="C238" s="71" t="str">
        <x:v>SGD</x:v>
      </x:c>
      <x:c r="D238" s="71" t="str">
        <x:v>Plus／年</x:v>
      </x:c>
      <x:c r="E238" s="73" t="n">
        <x:v>220.99</x:v>
      </x:c>
      <x:c r="F238" s="71" t="str">
        <x:v>$220.99</x:v>
      </x:c>
      <x:c r="G238" s="71" t="str">
        <x:v>en-SG</x:v>
      </x:c>
    </x:row>
    <x:row r="239" ht="27" customHeight="1">
      <x:c r="A239" s="71" t="str">
        <x:v>新加坡</x:v>
      </x:c>
      <x:c r="B239" s="71" t="str">
        <x:v>第2组</x:v>
      </x:c>
      <x:c r="C239" s="71" t="str">
        <x:v>SGD</x:v>
      </x:c>
      <x:c r="D239" s="71" t="str">
        <x:v>新Pro／年</x:v>
      </x:c>
      <x:c r="E239" s="73" t="n">
        <x:v>419.88</x:v>
      </x:c>
      <x:c r="F239" s="71" t="str">
        <x:v>$419.88</x:v>
      </x:c>
      <x:c r="G239" s="71" t="str">
        <x:v>en-SG</x:v>
      </x:c>
    </x:row>
    <x:row r="240" ht="27" customHeight="1">
      <x:c r="A240" s="71" t="str">
        <x:v>新加坡</x:v>
      </x:c>
      <x:c r="B240" s="71" t="str">
        <x:v>第2组</x:v>
      </x:c>
      <x:c r="C240" s="71" t="str">
        <x:v>SGD</x:v>
      </x:c>
      <x:c r="D240" s="71" t="str">
        <x:v>作业包／3份</x:v>
      </x:c>
      <x:c r="E240" s="73" t="n">
        <x:v>11.99</x:v>
      </x:c>
      <x:c r="F240" s="71" t="str">
        <x:v>$11.99</x:v>
      </x:c>
      <x:c r="G240" s="71" t="str">
        <x:v>en-SG</x:v>
      </x:c>
    </x:row>
    <x:row r="241" ht="27" customHeight="1">
      <x:c r="A241" s="71" t="str">
        <x:v>新加坡</x:v>
      </x:c>
      <x:c r="B241" s="71" t="str">
        <x:v>第2组</x:v>
      </x:c>
      <x:c r="C241" s="71" t="str">
        <x:v>SGD</x:v>
      </x:c>
      <x:c r="D241" s="71" t="str">
        <x:v>检测包／5份</x:v>
      </x:c>
      <x:c r="E241" s="73" t="n">
        <x:v>5.99</x:v>
      </x:c>
      <x:c r="F241" s="71" t="str">
        <x:v>$5.99</x:v>
      </x:c>
      <x:c r="G241" s="71" t="str">
        <x:v>en-SG</x:v>
      </x:c>
    </x:row>
    <x:row r="242" ht="27" customHeight="1">
      <x:c r="A242" s="71" t="str">
        <x:v>新加坡</x:v>
      </x:c>
      <x:c r="B242" s="71" t="str">
        <x:v>第2组</x:v>
      </x:c>
      <x:c r="C242" s="71" t="str">
        <x:v>SGD</x:v>
      </x:c>
      <x:c r="D242" s="71" t="str">
        <x:v>Humanizer包／3份</x:v>
      </x:c>
      <x:c r="E242" s="73" t="n">
        <x:v>7.99</x:v>
      </x:c>
      <x:c r="F242" s="71" t="str">
        <x:v>$7.99</x:v>
      </x:c>
      <x:c r="G242" s="71" t="str">
        <x:v>en-SG</x:v>
      </x:c>
    </x:row>
    <x:row r="243" ht="27" customHeight="1">
      <x:c r="A243" s="71" t="str">
        <x:v>新加坡</x:v>
      </x:c>
      <x:c r="B243" s="71" t="str">
        <x:v>第2组</x:v>
      </x:c>
      <x:c r="C243" s="71" t="str">
        <x:v>SGD</x:v>
      </x:c>
      <x:c r="D243" s="71" t="str">
        <x:v>Study Pass／月</x:v>
      </x:c>
      <x:c r="E243" s="73" t="n">
        <x:v>1.2</x:v>
      </x:c>
      <x:c r="F243" s="71" t="str">
        <x:v>$1.20</x:v>
      </x:c>
      <x:c r="G243" s="71" t="str">
        <x:v>en-SG</x:v>
      </x:c>
    </x:row>
    <x:row r="244" ht="27" customHeight="1">
      <x:c r="A244" s="71" t="str">
        <x:v>巴基斯坦</x:v>
      </x:c>
      <x:c r="B244" s="71" t="str">
        <x:v>第2组</x:v>
      </x:c>
      <x:c r="C244" s="71" t="str">
        <x:v>PKR</x:v>
      </x:c>
      <x:c r="D244" s="71" t="str">
        <x:v>Trial／7天</x:v>
      </x:c>
      <x:c r="E244" s="72" t="n">
        <x:v>169</x:v>
      </x:c>
      <x:c r="F244" s="71" t="str">
        <x:v>Rs 169</x:v>
      </x:c>
      <x:c r="G244" s="71" t="str">
        <x:v>en-PK</x:v>
      </x:c>
    </x:row>
    <x:row r="245" ht="27" customHeight="1">
      <x:c r="A245" s="71" t="str">
        <x:v>巴基斯坦</x:v>
      </x:c>
      <x:c r="B245" s="71" t="str">
        <x:v>第2组</x:v>
      </x:c>
      <x:c r="C245" s="71" t="str">
        <x:v>PKR</x:v>
      </x:c>
      <x:c r="D245" s="71" t="str">
        <x:v>Basic／月</x:v>
      </x:c>
      <x:c r="E245" s="72" t="n">
        <x:v>1099</x:v>
      </x:c>
      <x:c r="F245" s="71" t="str">
        <x:v>Rs 1,099</x:v>
      </x:c>
      <x:c r="G245" s="71" t="str">
        <x:v>en-PK</x:v>
      </x:c>
    </x:row>
    <x:row r="246" ht="27" customHeight="1">
      <x:c r="A246" s="71" t="str">
        <x:v>巴基斯坦</x:v>
      </x:c>
      <x:c r="B246" s="71" t="str">
        <x:v>第2组</x:v>
      </x:c>
      <x:c r="C246" s="71" t="str">
        <x:v>PKR</x:v>
      </x:c>
      <x:c r="D246" s="71" t="str">
        <x:v>Plus／月</x:v>
      </x:c>
      <x:c r="E246" s="72" t="n">
        <x:v>2199</x:v>
      </x:c>
      <x:c r="F246" s="71" t="str">
        <x:v>Rs 2,199</x:v>
      </x:c>
      <x:c r="G246" s="71" t="str">
        <x:v>en-PK</x:v>
      </x:c>
    </x:row>
    <x:row r="247" ht="27" customHeight="1">
      <x:c r="A247" s="71" t="str">
        <x:v>巴基斯坦</x:v>
      </x:c>
      <x:c r="B247" s="71" t="str">
        <x:v>第2组</x:v>
      </x:c>
      <x:c r="C247" s="71" t="str">
        <x:v>PKR</x:v>
      </x:c>
      <x:c r="D247" s="71" t="str">
        <x:v>新Pro／月</x:v>
      </x:c>
      <x:c r="E247" s="72" t="n">
        <x:v>1699</x:v>
      </x:c>
      <x:c r="F247" s="71" t="str">
        <x:v>Rs 1,699</x:v>
      </x:c>
      <x:c r="G247" s="71" t="str">
        <x:v>en-PK</x:v>
      </x:c>
    </x:row>
    <x:row r="248" ht="27" customHeight="1">
      <x:c r="A248" s="71" t="str">
        <x:v>巴基斯坦</x:v>
      </x:c>
      <x:c r="B248" s="71" t="str">
        <x:v>第2组</x:v>
      </x:c>
      <x:c r="C248" s="71" t="str">
        <x:v>PKR</x:v>
      </x:c>
      <x:c r="D248" s="71" t="str">
        <x:v>Basic／年</x:v>
      </x:c>
      <x:c r="E248" s="72" t="n">
        <x:v>5299</x:v>
      </x:c>
      <x:c r="F248" s="71" t="str">
        <x:v>Rs 5,299</x:v>
      </x:c>
      <x:c r="G248" s="71" t="str">
        <x:v>en-PK</x:v>
      </x:c>
    </x:row>
    <x:row r="249" ht="27" customHeight="1">
      <x:c r="A249" s="71" t="str">
        <x:v>巴基斯坦</x:v>
      </x:c>
      <x:c r="B249" s="71" t="str">
        <x:v>第2组</x:v>
      </x:c>
      <x:c r="C249" s="71" t="str">
        <x:v>PKR</x:v>
      </x:c>
      <x:c r="D249" s="71" t="str">
        <x:v>Plus／年</x:v>
      </x:c>
      <x:c r="E249" s="72" t="n">
        <x:v>10599</x:v>
      </x:c>
      <x:c r="F249" s="71" t="str">
        <x:v>Rs 10,599</x:v>
      </x:c>
      <x:c r="G249" s="71" t="str">
        <x:v>en-PK</x:v>
      </x:c>
    </x:row>
    <x:row r="250" ht="27" customHeight="1">
      <x:c r="A250" s="71" t="str">
        <x:v>巴基斯坦</x:v>
      </x:c>
      <x:c r="B250" s="71" t="str">
        <x:v>第2组</x:v>
      </x:c>
      <x:c r="C250" s="71" t="str">
        <x:v>PKR</x:v>
      </x:c>
      <x:c r="D250" s="71" t="str">
        <x:v>新Pro／年</x:v>
      </x:c>
      <x:c r="E250" s="72" t="n">
        <x:v>20388</x:v>
      </x:c>
      <x:c r="F250" s="71" t="str">
        <x:v>Rs 20,388</x:v>
      </x:c>
      <x:c r="G250" s="71" t="str">
        <x:v>en-PK</x:v>
      </x:c>
    </x:row>
    <x:row r="251" ht="27" customHeight="1">
      <x:c r="A251" s="71" t="str">
        <x:v>巴基斯坦</x:v>
      </x:c>
      <x:c r="B251" s="71" t="str">
        <x:v>第2组</x:v>
      </x:c>
      <x:c r="C251" s="71" t="str">
        <x:v>PKR</x:v>
      </x:c>
      <x:c r="D251" s="71" t="str">
        <x:v>作业包／3份</x:v>
      </x:c>
      <x:c r="E251" s="72" t="n">
        <x:v>549</x:v>
      </x:c>
      <x:c r="F251" s="71" t="str">
        <x:v>Rs 549</x:v>
      </x:c>
      <x:c r="G251" s="71" t="str">
        <x:v>en-PK</x:v>
      </x:c>
    </x:row>
    <x:row r="252" ht="27" customHeight="1">
      <x:c r="A252" s="71" t="str">
        <x:v>巴基斯坦</x:v>
      </x:c>
      <x:c r="B252" s="71" t="str">
        <x:v>第2组</x:v>
      </x:c>
      <x:c r="C252" s="71" t="str">
        <x:v>PKR</x:v>
      </x:c>
      <x:c r="D252" s="71" t="str">
        <x:v>检测包／5份</x:v>
      </x:c>
      <x:c r="E252" s="72" t="n">
        <x:v>279</x:v>
      </x:c>
      <x:c r="F252" s="71" t="str">
        <x:v>Rs 279</x:v>
      </x:c>
      <x:c r="G252" s="71" t="str">
        <x:v>en-PK</x:v>
      </x:c>
    </x:row>
    <x:row r="253" ht="27" customHeight="1">
      <x:c r="A253" s="71" t="str">
        <x:v>巴基斯坦</x:v>
      </x:c>
      <x:c r="B253" s="71" t="str">
        <x:v>第2组</x:v>
      </x:c>
      <x:c r="C253" s="71" t="str">
        <x:v>PKR</x:v>
      </x:c>
      <x:c r="D253" s="71" t="str">
        <x:v>Humanizer包／3份</x:v>
      </x:c>
      <x:c r="E253" s="72" t="n">
        <x:v>389</x:v>
      </x:c>
      <x:c r="F253" s="71" t="str">
        <x:v>Rs 389</x:v>
      </x:c>
      <x:c r="G253" s="71" t="str">
        <x:v>en-PK</x:v>
      </x:c>
    </x:row>
    <x:row r="254" ht="27" customHeight="1">
      <x:c r="A254" s="71" t="str">
        <x:v>巴基斯坦</x:v>
      </x:c>
      <x:c r="B254" s="71" t="str">
        <x:v>第2组</x:v>
      </x:c>
      <x:c r="C254" s="71" t="str">
        <x:v>PKR</x:v>
      </x:c>
      <x:c r="D254" s="71" t="str">
        <x:v>Study Pass／月</x:v>
      </x:c>
      <x:c r="E254" s="72" t="n">
        <x:v>170</x:v>
      </x:c>
      <x:c r="F254" s="71" t="str">
        <x:v>Rs 170</x:v>
      </x:c>
      <x:c r="G254" s="71" t="str">
        <x:v>en-PK</x:v>
      </x:c>
    </x:row>
    <x:row r="255" ht="27" customHeight="1">
      <x:c r="A255" s="71" t="str">
        <x:v>埃及</x:v>
      </x:c>
      <x:c r="B255" s="71" t="str">
        <x:v>第2组</x:v>
      </x:c>
      <x:c r="C255" s="71" t="str">
        <x:v>EGP</x:v>
      </x:c>
      <x:c r="D255" s="71" t="str">
        <x:v>Trial／7天</x:v>
      </x:c>
      <x:c r="E255" s="72" t="n">
        <x:v>29</x:v>
      </x:c>
      <x:c r="F255" s="71" t="str">
        <x:v>‏29 ج.م.‏</x:v>
      </x:c>
      <x:c r="G255" s="71" t="str">
        <x:v>ar-EG</x:v>
      </x:c>
    </x:row>
    <x:row r="256" ht="27" customHeight="1">
      <x:c r="A256" s="71" t="str">
        <x:v>埃及</x:v>
      </x:c>
      <x:c r="B256" s="71" t="str">
        <x:v>第2组</x:v>
      </x:c>
      <x:c r="C256" s="71" t="str">
        <x:v>EGP</x:v>
      </x:c>
      <x:c r="D256" s="71" t="str">
        <x:v>Basic／月</x:v>
      </x:c>
      <x:c r="E256" s="72" t="n">
        <x:v>209</x:v>
      </x:c>
      <x:c r="F256" s="71" t="str">
        <x:v>‏209 ج.م.‏</x:v>
      </x:c>
      <x:c r="G256" s="71" t="str">
        <x:v>ar-EG</x:v>
      </x:c>
    </x:row>
    <x:row r="257" ht="27" customHeight="1">
      <x:c r="A257" s="71" t="str">
        <x:v>埃及</x:v>
      </x:c>
      <x:c r="B257" s="71" t="str">
        <x:v>第2组</x:v>
      </x:c>
      <x:c r="C257" s="71" t="str">
        <x:v>EGP</x:v>
      </x:c>
      <x:c r="D257" s="71" t="str">
        <x:v>Plus／月</x:v>
      </x:c>
      <x:c r="E257" s="72" t="n">
        <x:v>429</x:v>
      </x:c>
      <x:c r="F257" s="71" t="str">
        <x:v>‏429 ج.م.‏</x:v>
      </x:c>
      <x:c r="G257" s="71" t="str">
        <x:v>ar-EG</x:v>
      </x:c>
    </x:row>
    <x:row r="258" ht="27" customHeight="1">
      <x:c r="A258" s="71" t="str">
        <x:v>埃及</x:v>
      </x:c>
      <x:c r="B258" s="71" t="str">
        <x:v>第2组</x:v>
      </x:c>
      <x:c r="C258" s="71" t="str">
        <x:v>EGP</x:v>
      </x:c>
      <x:c r="D258" s="71" t="str">
        <x:v>新Pro／月</x:v>
      </x:c>
      <x:c r="E258" s="72" t="n">
        <x:v>319</x:v>
      </x:c>
      <x:c r="F258" s="71" t="str">
        <x:v>‏319 ج.م.‏</x:v>
      </x:c>
      <x:c r="G258" s="71" t="str">
        <x:v>ar-EG</x:v>
      </x:c>
    </x:row>
    <x:row r="259" ht="27" customHeight="1">
      <x:c r="A259" s="71" t="str">
        <x:v>埃及</x:v>
      </x:c>
      <x:c r="B259" s="71" t="str">
        <x:v>第2组</x:v>
      </x:c>
      <x:c r="C259" s="71" t="str">
        <x:v>EGP</x:v>
      </x:c>
      <x:c r="D259" s="71" t="str">
        <x:v>Basic／年</x:v>
      </x:c>
      <x:c r="E259" s="72" t="n">
        <x:v>999</x:v>
      </x:c>
      <x:c r="F259" s="71" t="str">
        <x:v>‏999 ج.م.‏</x:v>
      </x:c>
      <x:c r="G259" s="71" t="str">
        <x:v>ar-EG</x:v>
      </x:c>
    </x:row>
    <x:row r="260" ht="27" customHeight="1">
      <x:c r="A260" s="71" t="str">
        <x:v>埃及</x:v>
      </x:c>
      <x:c r="B260" s="71" t="str">
        <x:v>第2组</x:v>
      </x:c>
      <x:c r="C260" s="71" t="str">
        <x:v>EGP</x:v>
      </x:c>
      <x:c r="D260" s="71" t="str">
        <x:v>Plus／年</x:v>
      </x:c>
      <x:c r="E260" s="72" t="n">
        <x:v>2099</x:v>
      </x:c>
      <x:c r="F260" s="71" t="str">
        <x:v>‏2,099 ج.م.‏</x:v>
      </x:c>
      <x:c r="G260" s="71" t="str">
        <x:v>ar-EG</x:v>
      </x:c>
    </x:row>
    <x:row r="261" ht="27" customHeight="1">
      <x:c r="A261" s="71" t="str">
        <x:v>埃及</x:v>
      </x:c>
      <x:c r="B261" s="71" t="str">
        <x:v>第2组</x:v>
      </x:c>
      <x:c r="C261" s="71" t="str">
        <x:v>EGP</x:v>
      </x:c>
      <x:c r="D261" s="71" t="str">
        <x:v>新Pro／年</x:v>
      </x:c>
      <x:c r="E261" s="72" t="n">
        <x:v>3828</x:v>
      </x:c>
      <x:c r="F261" s="71" t="str">
        <x:v>‏3,828 ج.م.‏</x:v>
      </x:c>
      <x:c r="G261" s="71" t="str">
        <x:v>ar-EG</x:v>
      </x:c>
    </x:row>
    <x:row r="262" ht="27" customHeight="1">
      <x:c r="A262" s="71" t="str">
        <x:v>埃及</x:v>
      </x:c>
      <x:c r="B262" s="71" t="str">
        <x:v>第2组</x:v>
      </x:c>
      <x:c r="C262" s="71" t="str">
        <x:v>EGP</x:v>
      </x:c>
      <x:c r="D262" s="71" t="str">
        <x:v>作业包／3份</x:v>
      </x:c>
      <x:c r="E262" s="72" t="n">
        <x:v>109</x:v>
      </x:c>
      <x:c r="F262" s="71" t="str">
        <x:v>‏109 ج.م.‏</x:v>
      </x:c>
      <x:c r="G262" s="71" t="str">
        <x:v>ar-EG</x:v>
      </x:c>
    </x:row>
    <x:row r="263" ht="27" customHeight="1">
      <x:c r="A263" s="71" t="str">
        <x:v>埃及</x:v>
      </x:c>
      <x:c r="B263" s="71" t="str">
        <x:v>第2组</x:v>
      </x:c>
      <x:c r="C263" s="71" t="str">
        <x:v>EGP</x:v>
      </x:c>
      <x:c r="D263" s="71" t="str">
        <x:v>检测包／5份</x:v>
      </x:c>
      <x:c r="E263" s="72" t="n">
        <x:v>49</x:v>
      </x:c>
      <x:c r="F263" s="71" t="str">
        <x:v>‏49 ج.م.‏</x:v>
      </x:c>
      <x:c r="G263" s="71" t="str">
        <x:v>ar-EG</x:v>
      </x:c>
    </x:row>
    <x:row r="264" ht="27" customHeight="1">
      <x:c r="A264" s="71" t="str">
        <x:v>埃及</x:v>
      </x:c>
      <x:c r="B264" s="71" t="str">
        <x:v>第2组</x:v>
      </x:c>
      <x:c r="C264" s="71" t="str">
        <x:v>EGP</x:v>
      </x:c>
      <x:c r="D264" s="71" t="str">
        <x:v>Humanizer包／3份</x:v>
      </x:c>
      <x:c r="E264" s="72" t="n">
        <x:v>79</x:v>
      </x:c>
      <x:c r="F264" s="71" t="str">
        <x:v>‏79 ج.م.‏</x:v>
      </x:c>
      <x:c r="G264" s="71" t="str">
        <x:v>ar-EG</x:v>
      </x:c>
    </x:row>
    <x:row r="265" ht="27" customHeight="1">
      <x:c r="A265" s="71" t="str">
        <x:v>埃及</x:v>
      </x:c>
      <x:c r="B265" s="71" t="str">
        <x:v>第2组</x:v>
      </x:c>
      <x:c r="C265" s="71" t="str">
        <x:v>EGP</x:v>
      </x:c>
      <x:c r="D265" s="71" t="str">
        <x:v>Study Pass／月</x:v>
      </x:c>
      <x:c r="E265" s="72" t="n">
        <x:v>32</x:v>
      </x:c>
      <x:c r="F265" s="71" t="str">
        <x:v>‏32 ج.م.‏</x:v>
      </x:c>
      <x:c r="G265" s="71" t="str">
        <x:v>ar-EG</x:v>
      </x:c>
    </x:row>
    <x:row r="266" ht="27" customHeight="1">
      <x:c r="A266" s="71" t="str">
        <x:v>南非</x:v>
      </x:c>
      <x:c r="B266" s="71" t="str">
        <x:v>第2组</x:v>
      </x:c>
      <x:c r="C266" s="71" t="str">
        <x:v>ZAR</x:v>
      </x:c>
      <x:c r="D266" s="71" t="str">
        <x:v>Trial／7天</x:v>
      </x:c>
      <x:c r="E266" s="73" t="n">
        <x:v>16.99</x:v>
      </x:c>
      <x:c r="F266" s="71" t="str">
        <x:v>R 16,99</x:v>
      </x:c>
      <x:c r="G266" s="71" t="str">
        <x:v>en-ZA</x:v>
      </x:c>
    </x:row>
    <x:row r="267" ht="27" customHeight="1">
      <x:c r="A267" s="71" t="str">
        <x:v>南非</x:v>
      </x:c>
      <x:c r="B267" s="71" t="str">
        <x:v>第2组</x:v>
      </x:c>
      <x:c r="C267" s="71" t="str">
        <x:v>ZAR</x:v>
      </x:c>
      <x:c r="D267" s="71" t="str">
        <x:v>Basic／月</x:v>
      </x:c>
      <x:c r="E267" s="73" t="n">
        <x:v>114.99</x:v>
      </x:c>
      <x:c r="F267" s="71" t="str">
        <x:v>R 114,99</x:v>
      </x:c>
      <x:c r="G267" s="71" t="str">
        <x:v>en-ZA</x:v>
      </x:c>
    </x:row>
    <x:row r="268" ht="27" customHeight="1">
      <x:c r="A268" s="71" t="str">
        <x:v>南非</x:v>
      </x:c>
      <x:c r="B268" s="71" t="str">
        <x:v>第2组</x:v>
      </x:c>
      <x:c r="C268" s="71" t="str">
        <x:v>ZAR</x:v>
      </x:c>
      <x:c r="D268" s="71" t="str">
        <x:v>Plus／月</x:v>
      </x:c>
      <x:c r="E268" s="73" t="n">
        <x:v>230.99</x:v>
      </x:c>
      <x:c r="F268" s="71" t="str">
        <x:v>R 230,99</x:v>
      </x:c>
      <x:c r="G268" s="71" t="str">
        <x:v>en-ZA</x:v>
      </x:c>
    </x:row>
    <x:row r="269" ht="27" customHeight="1">
      <x:c r="A269" s="71" t="str">
        <x:v>南非</x:v>
      </x:c>
      <x:c r="B269" s="71" t="str">
        <x:v>第2组</x:v>
      </x:c>
      <x:c r="C269" s="71" t="str">
        <x:v>ZAR</x:v>
      </x:c>
      <x:c r="D269" s="71" t="str">
        <x:v>新Pro／月</x:v>
      </x:c>
      <x:c r="E269" s="73" t="n">
        <x:v>172.99</x:v>
      </x:c>
      <x:c r="F269" s="71" t="str">
        <x:v>R 172,99</x:v>
      </x:c>
      <x:c r="G269" s="71" t="str">
        <x:v>en-ZA</x:v>
      </x:c>
    </x:row>
    <x:row r="270" ht="27" customHeight="1">
      <x:c r="A270" s="71" t="str">
        <x:v>南非</x:v>
      </x:c>
      <x:c r="B270" s="71" t="str">
        <x:v>第2组</x:v>
      </x:c>
      <x:c r="C270" s="71" t="str">
        <x:v>ZAR</x:v>
      </x:c>
      <x:c r="D270" s="71" t="str">
        <x:v>Basic／年</x:v>
      </x:c>
      <x:c r="E270" s="73" t="n">
        <x:v>552.99</x:v>
      </x:c>
      <x:c r="F270" s="71" t="str">
        <x:v>R 552,99</x:v>
      </x:c>
      <x:c r="G270" s="71" t="str">
        <x:v>en-ZA</x:v>
      </x:c>
    </x:row>
    <x:row r="271" ht="27" customHeight="1">
      <x:c r="A271" s="71" t="str">
        <x:v>南非</x:v>
      </x:c>
      <x:c r="B271" s="71" t="str">
        <x:v>第2组</x:v>
      </x:c>
      <x:c r="C271" s="71" t="str">
        <x:v>ZAR</x:v>
      </x:c>
      <x:c r="D271" s="71" t="str">
        <x:v>Plus／年</x:v>
      </x:c>
      <x:c r="E271" s="73" t="n">
        <x:v>1105.99</x:v>
      </x:c>
      <x:c r="F271" s="71" t="str">
        <x:v>R 1 105,99</x:v>
      </x:c>
      <x:c r="G271" s="71" t="str">
        <x:v>en-ZA</x:v>
      </x:c>
    </x:row>
    <x:row r="272" ht="27" customHeight="1">
      <x:c r="A272" s="71" t="str">
        <x:v>南非</x:v>
      </x:c>
      <x:c r="B272" s="71" t="str">
        <x:v>第2组</x:v>
      </x:c>
      <x:c r="C272" s="71" t="str">
        <x:v>ZAR</x:v>
      </x:c>
      <x:c r="D272" s="71" t="str">
        <x:v>新Pro／年</x:v>
      </x:c>
      <x:c r="E272" s="73" t="n">
        <x:v>2075.88</x:v>
      </x:c>
      <x:c r="F272" s="71" t="str">
        <x:v>R 2 075,88</x:v>
      </x:c>
      <x:c r="G272" s="71" t="str">
        <x:v>en-ZA</x:v>
      </x:c>
    </x:row>
    <x:row r="273" ht="27" customHeight="1">
      <x:c r="A273" s="71" t="str">
        <x:v>南非</x:v>
      </x:c>
      <x:c r="B273" s="71" t="str">
        <x:v>第2组</x:v>
      </x:c>
      <x:c r="C273" s="71" t="str">
        <x:v>ZAR</x:v>
      </x:c>
      <x:c r="D273" s="71" t="str">
        <x:v>作业包／3份</x:v>
      </x:c>
      <x:c r="E273" s="73" t="n">
        <x:v>57.99</x:v>
      </x:c>
      <x:c r="F273" s="71" t="str">
        <x:v>R 57,99</x:v>
      </x:c>
      <x:c r="G273" s="71" t="str">
        <x:v>en-ZA</x:v>
      </x:c>
    </x:row>
    <x:row r="274" ht="27" customHeight="1">
      <x:c r="A274" s="71" t="str">
        <x:v>南非</x:v>
      </x:c>
      <x:c r="B274" s="71" t="str">
        <x:v>第2组</x:v>
      </x:c>
      <x:c r="C274" s="71" t="str">
        <x:v>ZAR</x:v>
      </x:c>
      <x:c r="D274" s="71" t="str">
        <x:v>检测包／5份</x:v>
      </x:c>
      <x:c r="E274" s="73" t="n">
        <x:v>28.99</x:v>
      </x:c>
      <x:c r="F274" s="71" t="str">
        <x:v>R 28,99</x:v>
      </x:c>
      <x:c r="G274" s="71" t="str">
        <x:v>en-ZA</x:v>
      </x:c>
    </x:row>
    <x:row r="275" ht="27" customHeight="1">
      <x:c r="A275" s="71" t="str">
        <x:v>南非</x:v>
      </x:c>
      <x:c r="B275" s="71" t="str">
        <x:v>第2组</x:v>
      </x:c>
      <x:c r="C275" s="71" t="str">
        <x:v>ZAR</x:v>
      </x:c>
      <x:c r="D275" s="71" t="str">
        <x:v>Humanizer包／3份</x:v>
      </x:c>
      <x:c r="E275" s="73" t="n">
        <x:v>39.99</x:v>
      </x:c>
      <x:c r="F275" s="71" t="str">
        <x:v>R 39,99</x:v>
      </x:c>
      <x:c r="G275" s="71" t="str">
        <x:v>en-ZA</x:v>
      </x:c>
    </x:row>
    <x:row r="276" ht="27" customHeight="1">
      <x:c r="A276" s="71" t="str">
        <x:v>南非</x:v>
      </x:c>
      <x:c r="B276" s="71" t="str">
        <x:v>第2组</x:v>
      </x:c>
      <x:c r="C276" s="71" t="str">
        <x:v>ZAR</x:v>
      </x:c>
      <x:c r="D276" s="71" t="str">
        <x:v>Study Pass／月</x:v>
      </x:c>
      <x:c r="E276" s="73" t="n">
        <x:v>9.9</x:v>
      </x:c>
      <x:c r="F276" s="71" t="str">
        <x:v>R 9,90</x:v>
      </x:c>
      <x:c r="G276" s="71" t="str">
        <x:v>en-ZA</x:v>
      </x:c>
    </x:row>
    <x:row r="277" ht="27" customHeight="1">
      <x:c r="A277" s="71" t="str">
        <x:v>尼日利亚</x:v>
      </x:c>
      <x:c r="B277" s="71" t="str">
        <x:v>第2组</x:v>
      </x:c>
      <x:c r="C277" s="71" t="str">
        <x:v>NGN</x:v>
      </x:c>
      <x:c r="D277" s="71" t="str">
        <x:v>Trial／7天</x:v>
      </x:c>
      <x:c r="E277" s="72" t="n">
        <x:v>799</x:v>
      </x:c>
      <x:c r="F277" s="71" t="str">
        <x:v>₦799</x:v>
      </x:c>
      <x:c r="G277" s="71" t="str">
        <x:v>en-NG</x:v>
      </x:c>
    </x:row>
    <x:row r="278" ht="27" customHeight="1">
      <x:c r="A278" s="71" t="str">
        <x:v>尼日利亚</x:v>
      </x:c>
      <x:c r="B278" s="71" t="str">
        <x:v>第2组</x:v>
      </x:c>
      <x:c r="C278" s="71" t="str">
        <x:v>NGN</x:v>
      </x:c>
      <x:c r="D278" s="71" t="str">
        <x:v>Basic／月</x:v>
      </x:c>
      <x:c r="E278" s="72" t="n">
        <x:v>5299</x:v>
      </x:c>
      <x:c r="F278" s="71" t="str">
        <x:v>₦5,299</x:v>
      </x:c>
      <x:c r="G278" s="71" t="str">
        <x:v>en-NG</x:v>
      </x:c>
    </x:row>
    <x:row r="279" ht="27" customHeight="1">
      <x:c r="A279" s="71" t="str">
        <x:v>尼日利亚</x:v>
      </x:c>
      <x:c r="B279" s="71" t="str">
        <x:v>第2组</x:v>
      </x:c>
      <x:c r="C279" s="71" t="str">
        <x:v>NGN</x:v>
      </x:c>
      <x:c r="D279" s="71" t="str">
        <x:v>Plus／月</x:v>
      </x:c>
      <x:c r="E279" s="72" t="n">
        <x:v>10900</x:v>
      </x:c>
      <x:c r="F279" s="71" t="str">
        <x:v>₦10,900</x:v>
      </x:c>
      <x:c r="G279" s="71" t="str">
        <x:v>en-NG</x:v>
      </x:c>
    </x:row>
    <x:row r="280" ht="27" customHeight="1">
      <x:c r="A280" s="71" t="str">
        <x:v>尼日利亚</x:v>
      </x:c>
      <x:c r="B280" s="71" t="str">
        <x:v>第2组</x:v>
      </x:c>
      <x:c r="C280" s="71" t="str">
        <x:v>NGN</x:v>
      </x:c>
      <x:c r="D280" s="71" t="str">
        <x:v>新Pro／月</x:v>
      </x:c>
      <x:c r="E280" s="72" t="n">
        <x:v>7999</x:v>
      </x:c>
      <x:c r="F280" s="71" t="str">
        <x:v>₦7,999</x:v>
      </x:c>
      <x:c r="G280" s="71" t="str">
        <x:v>en-NG</x:v>
      </x:c>
    </x:row>
    <x:row r="281" ht="27" customHeight="1">
      <x:c r="A281" s="71" t="str">
        <x:v>尼日利亚</x:v>
      </x:c>
      <x:c r="B281" s="71" t="str">
        <x:v>第2组</x:v>
      </x:c>
      <x:c r="C281" s="71" t="str">
        <x:v>NGN</x:v>
      </x:c>
      <x:c r="D281" s="71" t="str">
        <x:v>Basic／年</x:v>
      </x:c>
      <x:c r="E281" s="72" t="n">
        <x:v>25900</x:v>
      </x:c>
      <x:c r="F281" s="71" t="str">
        <x:v>₦25,900</x:v>
      </x:c>
      <x:c r="G281" s="71" t="str">
        <x:v>en-NG</x:v>
      </x:c>
    </x:row>
    <x:row r="282" ht="27" customHeight="1">
      <x:c r="A282" s="71" t="str">
        <x:v>尼日利亚</x:v>
      </x:c>
      <x:c r="B282" s="71" t="str">
        <x:v>第2组</x:v>
      </x:c>
      <x:c r="C282" s="71" t="str">
        <x:v>NGN</x:v>
      </x:c>
      <x:c r="D282" s="71" t="str">
        <x:v>Plus／年</x:v>
      </x:c>
      <x:c r="E282" s="72" t="n">
        <x:v>51900</x:v>
      </x:c>
      <x:c r="F282" s="71" t="str">
        <x:v>₦51,900</x:v>
      </x:c>
      <x:c r="G282" s="71" t="str">
        <x:v>en-NG</x:v>
      </x:c>
    </x:row>
    <x:row r="283" ht="27" customHeight="1">
      <x:c r="A283" s="71" t="str">
        <x:v>尼日利亚</x:v>
      </x:c>
      <x:c r="B283" s="71" t="str">
        <x:v>第2组</x:v>
      </x:c>
      <x:c r="C283" s="71" t="str">
        <x:v>NGN</x:v>
      </x:c>
      <x:c r="D283" s="71" t="str">
        <x:v>新Pro／年</x:v>
      </x:c>
      <x:c r="E283" s="72" t="n">
        <x:v>95988</x:v>
      </x:c>
      <x:c r="F283" s="71" t="str">
        <x:v>₦95,988</x:v>
      </x:c>
      <x:c r="G283" s="71" t="str">
        <x:v>en-NG</x:v>
      </x:c>
    </x:row>
    <x:row r="284" ht="27" customHeight="1">
      <x:c r="A284" s="71" t="str">
        <x:v>尼日利亚</x:v>
      </x:c>
      <x:c r="B284" s="71" t="str">
        <x:v>第2组</x:v>
      </x:c>
      <x:c r="C284" s="71" t="str">
        <x:v>NGN</x:v>
      </x:c>
      <x:c r="D284" s="71" t="str">
        <x:v>作业包／3份</x:v>
      </x:c>
      <x:c r="E284" s="72" t="n">
        <x:v>2699</x:v>
      </x:c>
      <x:c r="F284" s="71" t="str">
        <x:v>₦2,699</x:v>
      </x:c>
      <x:c r="G284" s="71" t="str">
        <x:v>en-NG</x:v>
      </x:c>
    </x:row>
    <x:row r="285" ht="27" customHeight="1">
      <x:c r="A285" s="71" t="str">
        <x:v>尼日利亚</x:v>
      </x:c>
      <x:c r="B285" s="71" t="str">
        <x:v>第2组</x:v>
      </x:c>
      <x:c r="C285" s="71" t="str">
        <x:v>NGN</x:v>
      </x:c>
      <x:c r="D285" s="71" t="str">
        <x:v>检测包／5份</x:v>
      </x:c>
      <x:c r="E285" s="72" t="n">
        <x:v>1299</x:v>
      </x:c>
      <x:c r="F285" s="71" t="str">
        <x:v>₦1,299</x:v>
      </x:c>
      <x:c r="G285" s="71" t="str">
        <x:v>en-NG</x:v>
      </x:c>
    </x:row>
    <x:row r="286" ht="27" customHeight="1">
      <x:c r="A286" s="71" t="str">
        <x:v>尼日利亚</x:v>
      </x:c>
      <x:c r="B286" s="71" t="str">
        <x:v>第2组</x:v>
      </x:c>
      <x:c r="C286" s="71" t="str">
        <x:v>NGN</x:v>
      </x:c>
      <x:c r="D286" s="71" t="str">
        <x:v>Humanizer包／3份</x:v>
      </x:c>
      <x:c r="E286" s="72" t="n">
        <x:v>1899</x:v>
      </x:c>
      <x:c r="F286" s="71" t="str">
        <x:v>₦1,899</x:v>
      </x:c>
      <x:c r="G286" s="71" t="str">
        <x:v>en-NG</x:v>
      </x:c>
    </x:row>
    <x:row r="287" ht="27" customHeight="1">
      <x:c r="A287" s="71" t="str">
        <x:v>尼日利亚</x:v>
      </x:c>
      <x:c r="B287" s="71" t="str">
        <x:v>第2组</x:v>
      </x:c>
      <x:c r="C287" s="71" t="str">
        <x:v>NGN</x:v>
      </x:c>
      <x:c r="D287" s="71" t="str">
        <x:v>Study Pass／月</x:v>
      </x:c>
      <x:c r="E287" s="72" t="n">
        <x:v>800</x:v>
      </x:c>
      <x:c r="F287" s="71" t="str">
        <x:v>₦800</x:v>
      </x:c>
      <x:c r="G287" s="71" t="str">
        <x:v>en-NG</x:v>
      </x:c>
    </x:row>
    <x:row r="288" ht="27" customHeight="1">
      <x:c r="A288" s="71" t="str">
        <x:v>孟加拉国</x:v>
      </x:c>
      <x:c r="B288" s="71" t="str">
        <x:v>第2组</x:v>
      </x:c>
      <x:c r="C288" s="71" t="str">
        <x:v>BDT</x:v>
      </x:c>
      <x:c r="D288" s="71" t="str">
        <x:v>Trial／7天</x:v>
      </x:c>
      <x:c r="E288" s="72" t="n">
        <x:v>69</x:v>
      </x:c>
      <x:c r="F288" s="71" t="str">
        <x:v>69৳</x:v>
      </x:c>
      <x:c r="G288" s="71" t="str">
        <x:v>bn-BD</x:v>
      </x:c>
    </x:row>
    <x:row r="289" ht="27" customHeight="1">
      <x:c r="A289" s="71" t="str">
        <x:v>孟加拉国</x:v>
      </x:c>
      <x:c r="B289" s="71" t="str">
        <x:v>第2组</x:v>
      </x:c>
      <x:c r="C289" s="71" t="str">
        <x:v>BDT</x:v>
      </x:c>
      <x:c r="D289" s="71" t="str">
        <x:v>Basic／月</x:v>
      </x:c>
      <x:c r="E289" s="72" t="n">
        <x:v>489</x:v>
      </x:c>
      <x:c r="F289" s="71" t="str">
        <x:v>489৳</x:v>
      </x:c>
      <x:c r="G289" s="71" t="str">
        <x:v>bn-BD</x:v>
      </x:c>
    </x:row>
    <x:row r="290" ht="27" customHeight="1">
      <x:c r="A290" s="71" t="str">
        <x:v>孟加拉国</x:v>
      </x:c>
      <x:c r="B290" s="71" t="str">
        <x:v>第2组</x:v>
      </x:c>
      <x:c r="C290" s="71" t="str">
        <x:v>BDT</x:v>
      </x:c>
      <x:c r="D290" s="71" t="str">
        <x:v>Plus／月</x:v>
      </x:c>
      <x:c r="E290" s="72" t="n">
        <x:v>989</x:v>
      </x:c>
      <x:c r="F290" s="71" t="str">
        <x:v>989৳</x:v>
      </x:c>
      <x:c r="G290" s="71" t="str">
        <x:v>bn-BD</x:v>
      </x:c>
    </x:row>
    <x:row r="291" ht="27" customHeight="1">
      <x:c r="A291" s="71" t="str">
        <x:v>孟加拉国</x:v>
      </x:c>
      <x:c r="B291" s="71" t="str">
        <x:v>第2组</x:v>
      </x:c>
      <x:c r="C291" s="71" t="str">
        <x:v>BDT</x:v>
      </x:c>
      <x:c r="D291" s="71" t="str">
        <x:v>新Pro／月</x:v>
      </x:c>
      <x:c r="E291" s="72" t="n">
        <x:v>739</x:v>
      </x:c>
      <x:c r="F291" s="71" t="str">
        <x:v>739৳</x:v>
      </x:c>
      <x:c r="G291" s="71" t="str">
        <x:v>bn-BD</x:v>
      </x:c>
    </x:row>
    <x:row r="292" ht="27" customHeight="1">
      <x:c r="A292" s="71" t="str">
        <x:v>孟加拉国</x:v>
      </x:c>
      <x:c r="B292" s="71" t="str">
        <x:v>第2组</x:v>
      </x:c>
      <x:c r="C292" s="71" t="str">
        <x:v>BDT</x:v>
      </x:c>
      <x:c r="D292" s="71" t="str">
        <x:v>Basic／年</x:v>
      </x:c>
      <x:c r="E292" s="72" t="n">
        <x:v>2399</x:v>
      </x:c>
      <x:c r="F292" s="71" t="str">
        <x:v>2,399৳</x:v>
      </x:c>
      <x:c r="G292" s="71" t="str">
        <x:v>bn-BD</x:v>
      </x:c>
    </x:row>
    <x:row r="293" ht="27" customHeight="1">
      <x:c r="A293" s="71" t="str">
        <x:v>孟加拉国</x:v>
      </x:c>
      <x:c r="B293" s="71" t="str">
        <x:v>第2组</x:v>
      </x:c>
      <x:c r="C293" s="71" t="str">
        <x:v>BDT</x:v>
      </x:c>
      <x:c r="D293" s="71" t="str">
        <x:v>Plus／年</x:v>
      </x:c>
      <x:c r="E293" s="72" t="n">
        <x:v>4699</x:v>
      </x:c>
      <x:c r="F293" s="71" t="str">
        <x:v>4,699৳</x:v>
      </x:c>
      <x:c r="G293" s="71" t="str">
        <x:v>bn-BD</x:v>
      </x:c>
    </x:row>
    <x:row r="294" ht="27" customHeight="1">
      <x:c r="A294" s="71" t="str">
        <x:v>孟加拉国</x:v>
      </x:c>
      <x:c r="B294" s="71" t="str">
        <x:v>第2组</x:v>
      </x:c>
      <x:c r="C294" s="71" t="str">
        <x:v>BDT</x:v>
      </x:c>
      <x:c r="D294" s="71" t="str">
        <x:v>新Pro／年</x:v>
      </x:c>
      <x:c r="E294" s="72" t="n">
        <x:v>8868</x:v>
      </x:c>
      <x:c r="F294" s="71" t="str">
        <x:v>8,868৳</x:v>
      </x:c>
      <x:c r="G294" s="71" t="str">
        <x:v>bn-BD</x:v>
      </x:c>
    </x:row>
    <x:row r="295" ht="27" customHeight="1">
      <x:c r="A295" s="71" t="str">
        <x:v>孟加拉国</x:v>
      </x:c>
      <x:c r="B295" s="71" t="str">
        <x:v>第2组</x:v>
      </x:c>
      <x:c r="C295" s="71" t="str">
        <x:v>BDT</x:v>
      </x:c>
      <x:c r="D295" s="71" t="str">
        <x:v>作业包／3份</x:v>
      </x:c>
      <x:c r="E295" s="72" t="n">
        <x:v>249</x:v>
      </x:c>
      <x:c r="F295" s="71" t="str">
        <x:v>249৳</x:v>
      </x:c>
      <x:c r="G295" s="71" t="str">
        <x:v>bn-BD</x:v>
      </x:c>
    </x:row>
    <x:row r="296" ht="27" customHeight="1">
      <x:c r="A296" s="71" t="str">
        <x:v>孟加拉国</x:v>
      </x:c>
      <x:c r="B296" s="71" t="str">
        <x:v>第2组</x:v>
      </x:c>
      <x:c r="C296" s="71" t="str">
        <x:v>BDT</x:v>
      </x:c>
      <x:c r="D296" s="71" t="str">
        <x:v>检测包／5份</x:v>
      </x:c>
      <x:c r="E296" s="72" t="n">
        <x:v>119</x:v>
      </x:c>
      <x:c r="F296" s="71" t="str">
        <x:v>119৳</x:v>
      </x:c>
      <x:c r="G296" s="71" t="str">
        <x:v>bn-BD</x:v>
      </x:c>
    </x:row>
    <x:row r="297" ht="27" customHeight="1">
      <x:c r="A297" s="71" t="str">
        <x:v>孟加拉国</x:v>
      </x:c>
      <x:c r="B297" s="71" t="str">
        <x:v>第2组</x:v>
      </x:c>
      <x:c r="C297" s="71" t="str">
        <x:v>BDT</x:v>
      </x:c>
      <x:c r="D297" s="71" t="str">
        <x:v>Humanizer包／3份</x:v>
      </x:c>
      <x:c r="E297" s="72" t="n">
        <x:v>169</x:v>
      </x:c>
      <x:c r="F297" s="71" t="str">
        <x:v>169৳</x:v>
      </x:c>
      <x:c r="G297" s="71" t="str">
        <x:v>bn-BD</x:v>
      </x:c>
    </x:row>
    <x:row r="298" ht="27" customHeight="1">
      <x:c r="A298" s="71" t="str">
        <x:v>孟加拉国</x:v>
      </x:c>
      <x:c r="B298" s="71" t="str">
        <x:v>第2组</x:v>
      </x:c>
      <x:c r="C298" s="71" t="str">
        <x:v>BDT</x:v>
      </x:c>
      <x:c r="D298" s="71" t="str">
        <x:v>Study Pass／月</x:v>
      </x:c>
      <x:c r="E298" s="72" t="n">
        <x:v>74</x:v>
      </x:c>
      <x:c r="F298" s="71" t="str">
        <x:v>74৳</x:v>
      </x:c>
      <x:c r="G298" s="71" t="str">
        <x:v>bn-BD</x:v>
      </x:c>
    </x:row>
    <x:row r="299" ht="27" customHeight="1">
      <x:c r="A299" s="71" t="str">
        <x:v>墨西哥</x:v>
      </x:c>
      <x:c r="B299" s="71" t="str">
        <x:v>第2组</x:v>
      </x:c>
      <x:c r="C299" s="71" t="str">
        <x:v>MXN</x:v>
      </x:c>
      <x:c r="D299" s="71" t="str">
        <x:v>Trial／7天</x:v>
      </x:c>
      <x:c r="E299" s="73" t="n">
        <x:v>24.99</x:v>
      </x:c>
      <x:c r="F299" s="71" t="str">
        <x:v>$24.99</x:v>
      </x:c>
      <x:c r="G299" s="71" t="str">
        <x:v>es-MX</x:v>
      </x:c>
    </x:row>
    <x:row r="300" ht="27" customHeight="1">
      <x:c r="A300" s="71" t="str">
        <x:v>墨西哥</x:v>
      </x:c>
      <x:c r="B300" s="71" t="str">
        <x:v>第2组</x:v>
      </x:c>
      <x:c r="C300" s="71" t="str">
        <x:v>MXN</x:v>
      </x:c>
      <x:c r="D300" s="71" t="str">
        <x:v>Basic／月</x:v>
      </x:c>
      <x:c r="E300" s="73" t="n">
        <x:v>165.99</x:v>
      </x:c>
      <x:c r="F300" s="71" t="str">
        <x:v>$165.99</x:v>
      </x:c>
      <x:c r="G300" s="71" t="str">
        <x:v>es-MX</x:v>
      </x:c>
    </x:row>
    <x:row r="301" ht="27" customHeight="1">
      <x:c r="A301" s="71" t="str">
        <x:v>墨西哥</x:v>
      </x:c>
      <x:c r="B301" s="71" t="str">
        <x:v>第2组</x:v>
      </x:c>
      <x:c r="C301" s="71" t="str">
        <x:v>MXN</x:v>
      </x:c>
      <x:c r="D301" s="71" t="str">
        <x:v>Plus／月</x:v>
      </x:c>
      <x:c r="E301" s="73" t="n">
        <x:v>331.99</x:v>
      </x:c>
      <x:c r="F301" s="71" t="str">
        <x:v>$331.99</x:v>
      </x:c>
      <x:c r="G301" s="71" t="str">
        <x:v>es-MX</x:v>
      </x:c>
    </x:row>
    <x:row r="302" ht="27" customHeight="1">
      <x:c r="A302" s="71" t="str">
        <x:v>墨西哥</x:v>
      </x:c>
      <x:c r="B302" s="71" t="str">
        <x:v>第2组</x:v>
      </x:c>
      <x:c r="C302" s="71" t="str">
        <x:v>MXN</x:v>
      </x:c>
      <x:c r="D302" s="71" t="str">
        <x:v>新Pro／月</x:v>
      </x:c>
      <x:c r="E302" s="73" t="n">
        <x:v>248.99</x:v>
      </x:c>
      <x:c r="F302" s="71" t="str">
        <x:v>$248.99</x:v>
      </x:c>
      <x:c r="G302" s="71" t="str">
        <x:v>es-MX</x:v>
      </x:c>
    </x:row>
    <x:row r="303" ht="27" customHeight="1">
      <x:c r="A303" s="71" t="str">
        <x:v>墨西哥</x:v>
      </x:c>
      <x:c r="B303" s="71" t="str">
        <x:v>第2组</x:v>
      </x:c>
      <x:c r="C303" s="71" t="str">
        <x:v>MXN</x:v>
      </x:c>
      <x:c r="D303" s="71" t="str">
        <x:v>Basic／年</x:v>
      </x:c>
      <x:c r="E303" s="73" t="n">
        <x:v>796.99</x:v>
      </x:c>
      <x:c r="F303" s="71" t="str">
        <x:v>$796.99</x:v>
      </x:c>
      <x:c r="G303" s="71" t="str">
        <x:v>es-MX</x:v>
      </x:c>
    </x:row>
    <x:row r="304" ht="27" customHeight="1">
      <x:c r="A304" s="71" t="str">
        <x:v>墨西哥</x:v>
      </x:c>
      <x:c r="B304" s="71" t="str">
        <x:v>第2组</x:v>
      </x:c>
      <x:c r="C304" s="71" t="str">
        <x:v>MXN</x:v>
      </x:c>
      <x:c r="D304" s="71" t="str">
        <x:v>Plus／年</x:v>
      </x:c>
      <x:c r="E304" s="73" t="n">
        <x:v>1594.99</x:v>
      </x:c>
      <x:c r="F304" s="71" t="str">
        <x:v>$1,594.99</x:v>
      </x:c>
      <x:c r="G304" s="71" t="str">
        <x:v>es-MX</x:v>
      </x:c>
    </x:row>
    <x:row r="305" ht="27" customHeight="1">
      <x:c r="A305" s="71" t="str">
        <x:v>墨西哥</x:v>
      </x:c>
      <x:c r="B305" s="71" t="str">
        <x:v>第2组</x:v>
      </x:c>
      <x:c r="C305" s="71" t="str">
        <x:v>MXN</x:v>
      </x:c>
      <x:c r="D305" s="71" t="str">
        <x:v>新Pro／年</x:v>
      </x:c>
      <x:c r="E305" s="73" t="n">
        <x:v>2987.88</x:v>
      </x:c>
      <x:c r="F305" s="71" t="str">
        <x:v>$2,987.88</x:v>
      </x:c>
      <x:c r="G305" s="71" t="str">
        <x:v>es-MX</x:v>
      </x:c>
    </x:row>
    <x:row r="306" ht="27" customHeight="1">
      <x:c r="A306" s="71" t="str">
        <x:v>墨西哥</x:v>
      </x:c>
      <x:c r="B306" s="71" t="str">
        <x:v>第2组</x:v>
      </x:c>
      <x:c r="C306" s="71" t="str">
        <x:v>MXN</x:v>
      </x:c>
      <x:c r="D306" s="71" t="str">
        <x:v>作业包／3份</x:v>
      </x:c>
      <x:c r="E306" s="73" t="n">
        <x:v>82.99</x:v>
      </x:c>
      <x:c r="F306" s="71" t="str">
        <x:v>$82.99</x:v>
      </x:c>
      <x:c r="G306" s="71" t="str">
        <x:v>es-MX</x:v>
      </x:c>
    </x:row>
    <x:row r="307" ht="27" customHeight="1">
      <x:c r="A307" s="71" t="str">
        <x:v>墨西哥</x:v>
      </x:c>
      <x:c r="B307" s="71" t="str">
        <x:v>第2组</x:v>
      </x:c>
      <x:c r="C307" s="71" t="str">
        <x:v>MXN</x:v>
      </x:c>
      <x:c r="D307" s="71" t="str">
        <x:v>检测包／5份</x:v>
      </x:c>
      <x:c r="E307" s="73" t="n">
        <x:v>40.99</x:v>
      </x:c>
      <x:c r="F307" s="71" t="str">
        <x:v>$40.99</x:v>
      </x:c>
      <x:c r="G307" s="71" t="str">
        <x:v>es-MX</x:v>
      </x:c>
    </x:row>
    <x:row r="308" ht="27" customHeight="1">
      <x:c r="A308" s="71" t="str">
        <x:v>墨西哥</x:v>
      </x:c>
      <x:c r="B308" s="71" t="str">
        <x:v>第2组</x:v>
      </x:c>
      <x:c r="C308" s="71" t="str">
        <x:v>MXN</x:v>
      </x:c>
      <x:c r="D308" s="71" t="str">
        <x:v>Humanizer包／3份</x:v>
      </x:c>
      <x:c r="E308" s="73" t="n">
        <x:v>57.99</x:v>
      </x:c>
      <x:c r="F308" s="71" t="str">
        <x:v>$57.99</x:v>
      </x:c>
      <x:c r="G308" s="71" t="str">
        <x:v>es-MX</x:v>
      </x:c>
    </x:row>
    <x:row r="309" ht="27" customHeight="1">
      <x:c r="A309" s="71" t="str">
        <x:v>墨西哥</x:v>
      </x:c>
      <x:c r="B309" s="71" t="str">
        <x:v>第2组</x:v>
      </x:c>
      <x:c r="C309" s="71" t="str">
        <x:v>MXN</x:v>
      </x:c>
      <x:c r="D309" s="71" t="str">
        <x:v>Study Pass／月</x:v>
      </x:c>
      <x:c r="E309" s="72" t="n">
        <x:v>12</x:v>
      </x:c>
      <x:c r="F309" s="71" t="str">
        <x:v>$12</x:v>
      </x:c>
      <x:c r="G309" s="71" t="str">
        <x:v>es-MX</x:v>
      </x:c>
    </x:row>
    <x:row r="310" ht="27" customHeight="1">
      <x:c r="A310" s="71" t="str">
        <x:v>埃塞俄比亚</x:v>
      </x:c>
      <x:c r="B310" s="71" t="str">
        <x:v>第2组</x:v>
      </x:c>
      <x:c r="C310" s="71" t="str">
        <x:v>ETB</x:v>
      </x:c>
      <x:c r="D310" s="71" t="str">
        <x:v>Trial／7天</x:v>
      </x:c>
      <x:c r="E310" s="72" t="n">
        <x:v>99</x:v>
      </x:c>
      <x:c r="F310" s="71" t="str">
        <x:v>ብር 99</x:v>
      </x:c>
      <x:c r="G310" s="71" t="str">
        <x:v>am-ET</x:v>
      </x:c>
    </x:row>
    <x:row r="311" ht="27" customHeight="1">
      <x:c r="A311" s="71" t="str">
        <x:v>埃塞俄比亚</x:v>
      </x:c>
      <x:c r="B311" s="71" t="str">
        <x:v>第2组</x:v>
      </x:c>
      <x:c r="C311" s="71" t="str">
        <x:v>ETB</x:v>
      </x:c>
      <x:c r="D311" s="71" t="str">
        <x:v>Basic／月</x:v>
      </x:c>
      <x:c r="E311" s="72" t="n">
        <x:v>649</x:v>
      </x:c>
      <x:c r="F311" s="71" t="str">
        <x:v>ብር 649</x:v>
      </x:c>
      <x:c r="G311" s="71" t="str">
        <x:v>am-ET</x:v>
      </x:c>
    </x:row>
    <x:row r="312" ht="27" customHeight="1">
      <x:c r="A312" s="71" t="str">
        <x:v>埃塞俄比亚</x:v>
      </x:c>
      <x:c r="B312" s="71" t="str">
        <x:v>第2组</x:v>
      </x:c>
      <x:c r="C312" s="71" t="str">
        <x:v>ETB</x:v>
      </x:c>
      <x:c r="D312" s="71" t="str">
        <x:v>Plus／月</x:v>
      </x:c>
      <x:c r="E312" s="72" t="n">
        <x:v>1299</x:v>
      </x:c>
      <x:c r="F312" s="71" t="str">
        <x:v>ብር 1,299</x:v>
      </x:c>
      <x:c r="G312" s="71" t="str">
        <x:v>am-ET</x:v>
      </x:c>
    </x:row>
    <x:row r="313" ht="27" customHeight="1">
      <x:c r="A313" s="71" t="str">
        <x:v>埃塞俄比亚</x:v>
      </x:c>
      <x:c r="B313" s="71" t="str">
        <x:v>第2组</x:v>
      </x:c>
      <x:c r="C313" s="71" t="str">
        <x:v>ETB</x:v>
      </x:c>
      <x:c r="D313" s="71" t="str">
        <x:v>新Pro／月</x:v>
      </x:c>
      <x:c r="E313" s="72" t="n">
        <x:v>969</x:v>
      </x:c>
      <x:c r="F313" s="71" t="str">
        <x:v>ብር 969</x:v>
      </x:c>
      <x:c r="G313" s="71" t="str">
        <x:v>am-ET</x:v>
      </x:c>
    </x:row>
    <x:row r="314" ht="27" customHeight="1">
      <x:c r="A314" s="71" t="str">
        <x:v>埃塞俄比亚</x:v>
      </x:c>
      <x:c r="B314" s="71" t="str">
        <x:v>第2组</x:v>
      </x:c>
      <x:c r="C314" s="71" t="str">
        <x:v>ETB</x:v>
      </x:c>
      <x:c r="D314" s="71" t="str">
        <x:v>Basic／年</x:v>
      </x:c>
      <x:c r="E314" s="72" t="n">
        <x:v>3099</x:v>
      </x:c>
      <x:c r="F314" s="71" t="str">
        <x:v>ብር 3,099</x:v>
      </x:c>
      <x:c r="G314" s="71" t="str">
        <x:v>am-ET</x:v>
      </x:c>
    </x:row>
    <x:row r="315" ht="27" customHeight="1">
      <x:c r="A315" s="71" t="str">
        <x:v>埃塞俄比亚</x:v>
      </x:c>
      <x:c r="B315" s="71" t="str">
        <x:v>第2组</x:v>
      </x:c>
      <x:c r="C315" s="71" t="str">
        <x:v>ETB</x:v>
      </x:c>
      <x:c r="D315" s="71" t="str">
        <x:v>Plus／年</x:v>
      </x:c>
      <x:c r="E315" s="72" t="n">
        <x:v>6199</x:v>
      </x:c>
      <x:c r="F315" s="71" t="str">
        <x:v>ብር 6,199</x:v>
      </x:c>
      <x:c r="G315" s="71" t="str">
        <x:v>am-ET</x:v>
      </x:c>
    </x:row>
    <x:row r="316" ht="27" customHeight="1">
      <x:c r="A316" s="71" t="str">
        <x:v>埃塞俄比亚</x:v>
      </x:c>
      <x:c r="B316" s="71" t="str">
        <x:v>第2组</x:v>
      </x:c>
      <x:c r="C316" s="71" t="str">
        <x:v>ETB</x:v>
      </x:c>
      <x:c r="D316" s="71" t="str">
        <x:v>新Pro／年</x:v>
      </x:c>
      <x:c r="E316" s="72" t="n">
        <x:v>11628</x:v>
      </x:c>
      <x:c r="F316" s="71" t="str">
        <x:v>ብር 11,628</x:v>
      </x:c>
      <x:c r="G316" s="71" t="str">
        <x:v>am-ET</x:v>
      </x:c>
    </x:row>
    <x:row r="317" ht="27" customHeight="1">
      <x:c r="A317" s="71" t="str">
        <x:v>埃塞俄比亚</x:v>
      </x:c>
      <x:c r="B317" s="71" t="str">
        <x:v>第2组</x:v>
      </x:c>
      <x:c r="C317" s="71" t="str">
        <x:v>ETB</x:v>
      </x:c>
      <x:c r="D317" s="71" t="str">
        <x:v>作业包／3份</x:v>
      </x:c>
      <x:c r="E317" s="72" t="n">
        <x:v>319</x:v>
      </x:c>
      <x:c r="F317" s="71" t="str">
        <x:v>ብር 319</x:v>
      </x:c>
      <x:c r="G317" s="71" t="str">
        <x:v>am-ET</x:v>
      </x:c>
    </x:row>
    <x:row r="318" ht="27" customHeight="1">
      <x:c r="A318" s="71" t="str">
        <x:v>埃塞俄比亚</x:v>
      </x:c>
      <x:c r="B318" s="71" t="str">
        <x:v>第2组</x:v>
      </x:c>
      <x:c r="C318" s="71" t="str">
        <x:v>ETB</x:v>
      </x:c>
      <x:c r="D318" s="71" t="str">
        <x:v>检测包／5份</x:v>
      </x:c>
      <x:c r="E318" s="72" t="n">
        <x:v>159</x:v>
      </x:c>
      <x:c r="F318" s="71" t="str">
        <x:v>ብር 159</x:v>
      </x:c>
      <x:c r="G318" s="71" t="str">
        <x:v>am-ET</x:v>
      </x:c>
    </x:row>
    <x:row r="319" ht="27" customHeight="1">
      <x:c r="A319" s="71" t="str">
        <x:v>埃塞俄比亚</x:v>
      </x:c>
      <x:c r="B319" s="71" t="str">
        <x:v>第2组</x:v>
      </x:c>
      <x:c r="C319" s="71" t="str">
        <x:v>ETB</x:v>
      </x:c>
      <x:c r="D319" s="71" t="str">
        <x:v>Humanizer包／3份</x:v>
      </x:c>
      <x:c r="E319" s="72" t="n">
        <x:v>229</x:v>
      </x:c>
      <x:c r="F319" s="71" t="str">
        <x:v>ብር 229</x:v>
      </x:c>
      <x:c r="G319" s="71" t="str">
        <x:v>am-ET</x:v>
      </x:c>
    </x:row>
    <x:row r="320" ht="27" customHeight="1">
      <x:c r="A320" s="71" t="str">
        <x:v>埃塞俄比亚</x:v>
      </x:c>
      <x:c r="B320" s="71" t="str">
        <x:v>第2组</x:v>
      </x:c>
      <x:c r="C320" s="71" t="str">
        <x:v>ETB</x:v>
      </x:c>
      <x:c r="D320" s="71" t="str">
        <x:v>Study Pass／月</x:v>
      </x:c>
      <x:c r="E320" s="72" t="n">
        <x:v>98</x:v>
      </x:c>
      <x:c r="F320" s="71" t="str">
        <x:v>ብር 98</x:v>
      </x:c>
      <x:c r="G320" s="71" t="str">
        <x:v>am-ET</x:v>
      </x:c>
    </x:row>
    <x:row r="321" ht="27" customHeight="1">
      <x:c r="A321" s="71" t="str">
        <x:v>爱尔兰</x:v>
      </x:c>
      <x:c r="B321" s="71" t="str">
        <x:v>第2组</x:v>
      </x:c>
      <x:c r="C321" s="71" t="str">
        <x:v>EUR</x:v>
      </x:c>
      <x:c r="D321" s="71" t="str">
        <x:v>Trial／7天</x:v>
      </x:c>
      <x:c r="E321" s="73" t="n">
        <x:v>2.49</x:v>
      </x:c>
      <x:c r="F321" s="71" t="str">
        <x:v>€2.49</x:v>
      </x:c>
      <x:c r="G321" s="71" t="str">
        <x:v>en-IE</x:v>
      </x:c>
    </x:row>
    <x:row r="322" ht="27" customHeight="1">
      <x:c r="A322" s="71" t="str">
        <x:v>爱尔兰</x:v>
      </x:c>
      <x:c r="B322" s="71" t="str">
        <x:v>第2组</x:v>
      </x:c>
      <x:c r="C322" s="71" t="str">
        <x:v>EUR</x:v>
      </x:c>
      <x:c r="D322" s="71" t="str">
        <x:v>Basic／月</x:v>
      </x:c>
      <x:c r="E322" s="73" t="n">
        <x:v>17.99</x:v>
      </x:c>
      <x:c r="F322" s="71" t="str">
        <x:v>€17.99</x:v>
      </x:c>
      <x:c r="G322" s="71" t="str">
        <x:v>en-IE</x:v>
      </x:c>
    </x:row>
    <x:row r="323" ht="27" customHeight="1">
      <x:c r="A323" s="71" t="str">
        <x:v>爱尔兰</x:v>
      </x:c>
      <x:c r="B323" s="71" t="str">
        <x:v>第2组</x:v>
      </x:c>
      <x:c r="C323" s="71" t="str">
        <x:v>EUR</x:v>
      </x:c>
      <x:c r="D323" s="71" t="str">
        <x:v>Plus／月</x:v>
      </x:c>
      <x:c r="E323" s="73" t="n">
        <x:v>35.99</x:v>
      </x:c>
      <x:c r="F323" s="71" t="str">
        <x:v>€35.99</x:v>
      </x:c>
      <x:c r="G323" s="71" t="str">
        <x:v>en-IE</x:v>
      </x:c>
    </x:row>
    <x:row r="324" ht="27" customHeight="1">
      <x:c r="A324" s="71" t="str">
        <x:v>爱尔兰</x:v>
      </x:c>
      <x:c r="B324" s="71" t="str">
        <x:v>第2组</x:v>
      </x:c>
      <x:c r="C324" s="71" t="str">
        <x:v>EUR</x:v>
      </x:c>
      <x:c r="D324" s="71" t="str">
        <x:v>新Pro／月</x:v>
      </x:c>
      <x:c r="E324" s="73" t="n">
        <x:v>26.99</x:v>
      </x:c>
      <x:c r="F324" s="71" t="str">
        <x:v>€26.99</x:v>
      </x:c>
      <x:c r="G324" s="71" t="str">
        <x:v>en-IE</x:v>
      </x:c>
    </x:row>
    <x:row r="325" ht="27" customHeight="1">
      <x:c r="A325" s="71" t="str">
        <x:v>爱尔兰</x:v>
      </x:c>
      <x:c r="B325" s="71" t="str">
        <x:v>第2组</x:v>
      </x:c>
      <x:c r="C325" s="71" t="str">
        <x:v>EUR</x:v>
      </x:c>
      <x:c r="D325" s="71" t="str">
        <x:v>Basic／年</x:v>
      </x:c>
      <x:c r="E325" s="73" t="n">
        <x:v>84.99</x:v>
      </x:c>
      <x:c r="F325" s="71" t="str">
        <x:v>€84.99</x:v>
      </x:c>
      <x:c r="G325" s="71" t="str">
        <x:v>en-IE</x:v>
      </x:c>
    </x:row>
    <x:row r="326" ht="27" customHeight="1">
      <x:c r="A326" s="71" t="str">
        <x:v>爱尔兰</x:v>
      </x:c>
      <x:c r="B326" s="71" t="str">
        <x:v>第2组</x:v>
      </x:c>
      <x:c r="C326" s="71" t="str">
        <x:v>EUR</x:v>
      </x:c>
      <x:c r="D326" s="71" t="str">
        <x:v>Plus／年</x:v>
      </x:c>
      <x:c r="E326" s="73" t="n">
        <x:v>170.99</x:v>
      </x:c>
      <x:c r="F326" s="71" t="str">
        <x:v>€170.99</x:v>
      </x:c>
      <x:c r="G326" s="71" t="str">
        <x:v>en-IE</x:v>
      </x:c>
    </x:row>
    <x:row r="327" ht="27" customHeight="1">
      <x:c r="A327" s="71" t="str">
        <x:v>爱尔兰</x:v>
      </x:c>
      <x:c r="B327" s="71" t="str">
        <x:v>第2组</x:v>
      </x:c>
      <x:c r="C327" s="71" t="str">
        <x:v>EUR</x:v>
      </x:c>
      <x:c r="D327" s="71" t="str">
        <x:v>新Pro／年</x:v>
      </x:c>
      <x:c r="E327" s="73" t="n">
        <x:v>323.88</x:v>
      </x:c>
      <x:c r="F327" s="71" t="str">
        <x:v>€323.88</x:v>
      </x:c>
      <x:c r="G327" s="71" t="str">
        <x:v>en-IE</x:v>
      </x:c>
    </x:row>
    <x:row r="328" ht="27" customHeight="1">
      <x:c r="A328" s="71" t="str">
        <x:v>爱尔兰</x:v>
      </x:c>
      <x:c r="B328" s="71" t="str">
        <x:v>第2组</x:v>
      </x:c>
      <x:c r="C328" s="71" t="str">
        <x:v>EUR</x:v>
      </x:c>
      <x:c r="D328" s="71" t="str">
        <x:v>作业包／3份</x:v>
      </x:c>
      <x:c r="E328" s="73" t="n">
        <x:v>8.99</x:v>
      </x:c>
      <x:c r="F328" s="71" t="str">
        <x:v>€8.99</x:v>
      </x:c>
      <x:c r="G328" s="71" t="str">
        <x:v>en-IE</x:v>
      </x:c>
    </x:row>
    <x:row r="329" ht="27" customHeight="1">
      <x:c r="A329" s="71" t="str">
        <x:v>爱尔兰</x:v>
      </x:c>
      <x:c r="B329" s="71" t="str">
        <x:v>第2组</x:v>
      </x:c>
      <x:c r="C329" s="71" t="str">
        <x:v>EUR</x:v>
      </x:c>
      <x:c r="D329" s="71" t="str">
        <x:v>检测包／5份</x:v>
      </x:c>
      <x:c r="E329" s="73" t="n">
        <x:v>4.49</x:v>
      </x:c>
      <x:c r="F329" s="71" t="str">
        <x:v>€4.49</x:v>
      </x:c>
      <x:c r="G329" s="71" t="str">
        <x:v>en-IE</x:v>
      </x:c>
    </x:row>
    <x:row r="330" ht="27" customHeight="1">
      <x:c r="A330" s="71" t="str">
        <x:v>爱尔兰</x:v>
      </x:c>
      <x:c r="B330" s="71" t="str">
        <x:v>第2组</x:v>
      </x:c>
      <x:c r="C330" s="71" t="str">
        <x:v>EUR</x:v>
      </x:c>
      <x:c r="D330" s="71" t="str">
        <x:v>Humanizer包／3份</x:v>
      </x:c>
      <x:c r="E330" s="73" t="n">
        <x:v>5.99</x:v>
      </x:c>
      <x:c r="F330" s="71" t="str">
        <x:v>€5.99</x:v>
      </x:c>
      <x:c r="G330" s="71" t="str">
        <x:v>en-IE</x:v>
      </x:c>
    </x:row>
    <x:row r="331" ht="27" customHeight="1">
      <x:c r="A331" s="71" t="str">
        <x:v>爱尔兰</x:v>
      </x:c>
      <x:c r="B331" s="71" t="str">
        <x:v>第2组</x:v>
      </x:c>
      <x:c r="C331" s="71" t="str">
        <x:v>EUR</x:v>
      </x:c>
      <x:c r="D331" s="71" t="str">
        <x:v>Study Pass／月</x:v>
      </x:c>
      <x:c r="E331" s="73" t="n">
        <x:v>0.87</x:v>
      </x:c>
      <x:c r="F331" s="71" t="str">
        <x:v>€0.87</x:v>
      </x:c>
      <x:c r="G331" s="71" t="str">
        <x:v>en-IE</x:v>
      </x:c>
    </x:row>
    <x:row r="332" ht="27" customHeight="1">
      <x:c r="A332" s="71" t="str">
        <x:v>日本</x:v>
      </x:c>
      <x:c r="B332" s="71" t="str">
        <x:v>第2组</x:v>
      </x:c>
      <x:c r="C332" s="71" t="str">
        <x:v>JPY</x:v>
      </x:c>
      <x:c r="D332" s="71" t="str">
        <x:v>Trial／7天</x:v>
      </x:c>
      <x:c r="E332" s="72" t="n">
        <x:v>298</x:v>
      </x:c>
      <x:c r="F332" s="71" t="str">
        <x:v>￥298</x:v>
      </x:c>
      <x:c r="G332" s="71" t="str">
        <x:v>ja-JP</x:v>
      </x:c>
    </x:row>
    <x:row r="333" ht="27" customHeight="1">
      <x:c r="A333" s="71" t="str">
        <x:v>日本</x:v>
      </x:c>
      <x:c r="B333" s="71" t="str">
        <x:v>第2组</x:v>
      </x:c>
      <x:c r="C333" s="71" t="str">
        <x:v>JPY</x:v>
      </x:c>
      <x:c r="D333" s="71" t="str">
        <x:v>Basic／月</x:v>
      </x:c>
      <x:c r="E333" s="72" t="n">
        <x:v>1980</x:v>
      </x:c>
      <x:c r="F333" s="71" t="str">
        <x:v>￥1,980</x:v>
      </x:c>
      <x:c r="G333" s="71" t="str">
        <x:v>ja-JP</x:v>
      </x:c>
    </x:row>
    <x:row r="334" ht="27" customHeight="1">
      <x:c r="A334" s="71" t="str">
        <x:v>日本</x:v>
      </x:c>
      <x:c r="B334" s="71" t="str">
        <x:v>第2组</x:v>
      </x:c>
      <x:c r="C334" s="71" t="str">
        <x:v>JPY</x:v>
      </x:c>
      <x:c r="D334" s="71" t="str">
        <x:v>Plus／月</x:v>
      </x:c>
      <x:c r="E334" s="72" t="n">
        <x:v>3980</x:v>
      </x:c>
      <x:c r="F334" s="71" t="str">
        <x:v>￥3,980</x:v>
      </x:c>
      <x:c r="G334" s="71" t="str">
        <x:v>ja-JP</x:v>
      </x:c>
    </x:row>
    <x:row r="335" ht="27" customHeight="1">
      <x:c r="A335" s="71" t="str">
        <x:v>日本</x:v>
      </x:c>
      <x:c r="B335" s="71" t="str">
        <x:v>第2组</x:v>
      </x:c>
      <x:c r="C335" s="71" t="str">
        <x:v>JPY</x:v>
      </x:c>
      <x:c r="D335" s="71" t="str">
        <x:v>新Pro／月</x:v>
      </x:c>
      <x:c r="E335" s="72" t="n">
        <x:v>2980</x:v>
      </x:c>
      <x:c r="F335" s="71" t="str">
        <x:v>￥2,980</x:v>
      </x:c>
      <x:c r="G335" s="71" t="str">
        <x:v>ja-JP</x:v>
      </x:c>
    </x:row>
    <x:row r="336" ht="27" customHeight="1">
      <x:c r="A336" s="71" t="str">
        <x:v>日本</x:v>
      </x:c>
      <x:c r="B336" s="71" t="str">
        <x:v>第2组</x:v>
      </x:c>
      <x:c r="C336" s="71" t="str">
        <x:v>JPY</x:v>
      </x:c>
      <x:c r="D336" s="71" t="str">
        <x:v>Basic／年</x:v>
      </x:c>
      <x:c r="E336" s="72" t="n">
        <x:v>9480</x:v>
      </x:c>
      <x:c r="F336" s="71" t="str">
        <x:v>￥9,480</x:v>
      </x:c>
      <x:c r="G336" s="71" t="str">
        <x:v>ja-JP</x:v>
      </x:c>
    </x:row>
    <x:row r="337" ht="27" customHeight="1">
      <x:c r="A337" s="71" t="str">
        <x:v>日本</x:v>
      </x:c>
      <x:c r="B337" s="71" t="str">
        <x:v>第2组</x:v>
      </x:c>
      <x:c r="C337" s="71" t="str">
        <x:v>JPY</x:v>
      </x:c>
      <x:c r="D337" s="71" t="str">
        <x:v>Plus／年</x:v>
      </x:c>
      <x:c r="E337" s="72" t="n">
        <x:v>18980</x:v>
      </x:c>
      <x:c r="F337" s="71" t="str">
        <x:v>￥18,980</x:v>
      </x:c>
      <x:c r="G337" s="71" t="str">
        <x:v>ja-JP</x:v>
      </x:c>
    </x:row>
    <x:row r="338" ht="27" customHeight="1">
      <x:c r="A338" s="71" t="str">
        <x:v>日本</x:v>
      </x:c>
      <x:c r="B338" s="71" t="str">
        <x:v>第2组</x:v>
      </x:c>
      <x:c r="C338" s="71" t="str">
        <x:v>JPY</x:v>
      </x:c>
      <x:c r="D338" s="71" t="str">
        <x:v>新Pro／年</x:v>
      </x:c>
      <x:c r="E338" s="72" t="n">
        <x:v>35760</x:v>
      </x:c>
      <x:c r="F338" s="71" t="str">
        <x:v>￥35,760</x:v>
      </x:c>
      <x:c r="G338" s="71" t="str">
        <x:v>ja-JP</x:v>
      </x:c>
    </x:row>
    <x:row r="339" ht="27" customHeight="1">
      <x:c r="A339" s="71" t="str">
        <x:v>日本</x:v>
      </x:c>
      <x:c r="B339" s="71" t="str">
        <x:v>第2组</x:v>
      </x:c>
      <x:c r="C339" s="71" t="str">
        <x:v>JPY</x:v>
      </x:c>
      <x:c r="D339" s="71" t="str">
        <x:v>作业包／3份</x:v>
      </x:c>
      <x:c r="E339" s="72" t="n">
        <x:v>980</x:v>
      </x:c>
      <x:c r="F339" s="71" t="str">
        <x:v>￥980</x:v>
      </x:c>
      <x:c r="G339" s="71" t="str">
        <x:v>ja-JP</x:v>
      </x:c>
    </x:row>
    <x:row r="340" ht="27" customHeight="1">
      <x:c r="A340" s="71" t="str">
        <x:v>日本</x:v>
      </x:c>
      <x:c r="B340" s="71" t="str">
        <x:v>第2组</x:v>
      </x:c>
      <x:c r="C340" s="71" t="str">
        <x:v>JPY</x:v>
      </x:c>
      <x:c r="D340" s="71" t="str">
        <x:v>检测包／5份</x:v>
      </x:c>
      <x:c r="E340" s="72" t="n">
        <x:v>498</x:v>
      </x:c>
      <x:c r="F340" s="71" t="str">
        <x:v>￥498</x:v>
      </x:c>
      <x:c r="G340" s="71" t="str">
        <x:v>ja-JP</x:v>
      </x:c>
    </x:row>
    <x:row r="341" ht="27" customHeight="1">
      <x:c r="A341" s="71" t="str">
        <x:v>日本</x:v>
      </x:c>
      <x:c r="B341" s="71" t="str">
        <x:v>第2组</x:v>
      </x:c>
      <x:c r="C341" s="71" t="str">
        <x:v>JPY</x:v>
      </x:c>
      <x:c r="D341" s="71" t="str">
        <x:v>Humanizer包／3份</x:v>
      </x:c>
      <x:c r="E341" s="72" t="n">
        <x:v>698</x:v>
      </x:c>
      <x:c r="F341" s="71" t="str">
        <x:v>￥698</x:v>
      </x:c>
      <x:c r="G341" s="71" t="str">
        <x:v>ja-JP</x:v>
      </x:c>
    </x:row>
    <x:row r="342" ht="27" customHeight="1">
      <x:c r="A342" s="71" t="str">
        <x:v>日本</x:v>
      </x:c>
      <x:c r="B342" s="71" t="str">
        <x:v>第2组</x:v>
      </x:c>
      <x:c r="C342" s="71" t="str">
        <x:v>JPY</x:v>
      </x:c>
      <x:c r="D342" s="71" t="str">
        <x:v>Study Pass／月</x:v>
      </x:c>
      <x:c r="E342" s="72" t="n">
        <x:v>99</x:v>
      </x:c>
      <x:c r="F342" s="71" t="str">
        <x:v>￥99</x:v>
      </x:c>
      <x:c r="G342" s="71" t="str">
        <x:v>ja-JP</x:v>
      </x:c>
    </x:row>
    <x:row r="343" ht="27" customHeight="1">
      <x:c r="A343" s="71" t="str">
        <x:v>肯尼亚</x:v>
      </x:c>
      <x:c r="B343" s="71" t="str">
        <x:v>第2组</x:v>
      </x:c>
      <x:c r="C343" s="71" t="str">
        <x:v>KES</x:v>
      </x:c>
      <x:c r="D343" s="71" t="str">
        <x:v>Trial／7天</x:v>
      </x:c>
      <x:c r="E343" s="72" t="n">
        <x:v>99</x:v>
      </x:c>
      <x:c r="F343" s="71" t="str">
        <x:v>Ksh 99</x:v>
      </x:c>
      <x:c r="G343" s="71" t="str">
        <x:v>en-KE</x:v>
      </x:c>
    </x:row>
    <x:row r="344" ht="27" customHeight="1">
      <x:c r="A344" s="71" t="str">
        <x:v>肯尼亚</x:v>
      </x:c>
      <x:c r="B344" s="71" t="str">
        <x:v>第2组</x:v>
      </x:c>
      <x:c r="C344" s="71" t="str">
        <x:v>KES</x:v>
      </x:c>
      <x:c r="D344" s="71" t="str">
        <x:v>Basic／月</x:v>
      </x:c>
      <x:c r="E344" s="72" t="n">
        <x:v>649</x:v>
      </x:c>
      <x:c r="F344" s="71" t="str">
        <x:v>Ksh 649</x:v>
      </x:c>
      <x:c r="G344" s="71" t="str">
        <x:v>en-KE</x:v>
      </x:c>
    </x:row>
    <x:row r="345" ht="27" customHeight="1">
      <x:c r="A345" s="71" t="str">
        <x:v>肯尼亚</x:v>
      </x:c>
      <x:c r="B345" s="71" t="str">
        <x:v>第2组</x:v>
      </x:c>
      <x:c r="C345" s="71" t="str">
        <x:v>KES</x:v>
      </x:c>
      <x:c r="D345" s="71" t="str">
        <x:v>Plus／月</x:v>
      </x:c>
      <x:c r="E345" s="72" t="n">
        <x:v>1299</x:v>
      </x:c>
      <x:c r="F345" s="71" t="str">
        <x:v>Ksh 1,299</x:v>
      </x:c>
      <x:c r="G345" s="71" t="str">
        <x:v>en-KE</x:v>
      </x:c>
    </x:row>
    <x:row r="346" ht="27" customHeight="1">
      <x:c r="A346" s="71" t="str">
        <x:v>肯尼亚</x:v>
      </x:c>
      <x:c r="B346" s="71" t="str">
        <x:v>第2组</x:v>
      </x:c>
      <x:c r="C346" s="71" t="str">
        <x:v>KES</x:v>
      </x:c>
      <x:c r="D346" s="71" t="str">
        <x:v>新Pro／月</x:v>
      </x:c>
      <x:c r="E346" s="72" t="n">
        <x:v>969</x:v>
      </x:c>
      <x:c r="F346" s="71" t="str">
        <x:v>Ksh 969</x:v>
      </x:c>
      <x:c r="G346" s="71" t="str">
        <x:v>en-KE</x:v>
      </x:c>
    </x:row>
    <x:row r="347" ht="27" customHeight="1">
      <x:c r="A347" s="71" t="str">
        <x:v>肯尼亚</x:v>
      </x:c>
      <x:c r="B347" s="71" t="str">
        <x:v>第2组</x:v>
      </x:c>
      <x:c r="C347" s="71" t="str">
        <x:v>KES</x:v>
      </x:c>
      <x:c r="D347" s="71" t="str">
        <x:v>Basic／年</x:v>
      </x:c>
      <x:c r="E347" s="72" t="n">
        <x:v>3099</x:v>
      </x:c>
      <x:c r="F347" s="71" t="str">
        <x:v>Ksh 3,099</x:v>
      </x:c>
      <x:c r="G347" s="71" t="str">
        <x:v>en-KE</x:v>
      </x:c>
    </x:row>
    <x:row r="348" ht="27" customHeight="1">
      <x:c r="A348" s="71" t="str">
        <x:v>肯尼亚</x:v>
      </x:c>
      <x:c r="B348" s="71" t="str">
        <x:v>第2组</x:v>
      </x:c>
      <x:c r="C348" s="71" t="str">
        <x:v>KES</x:v>
      </x:c>
      <x:c r="D348" s="71" t="str">
        <x:v>Plus／年</x:v>
      </x:c>
      <x:c r="E348" s="72" t="n">
        <x:v>6199</x:v>
      </x:c>
      <x:c r="F348" s="71" t="str">
        <x:v>Ksh 6,199</x:v>
      </x:c>
      <x:c r="G348" s="71" t="str">
        <x:v>en-KE</x:v>
      </x:c>
    </x:row>
    <x:row r="349" ht="27" customHeight="1">
      <x:c r="A349" s="71" t="str">
        <x:v>肯尼亚</x:v>
      </x:c>
      <x:c r="B349" s="71" t="str">
        <x:v>第2组</x:v>
      </x:c>
      <x:c r="C349" s="71" t="str">
        <x:v>KES</x:v>
      </x:c>
      <x:c r="D349" s="71" t="str">
        <x:v>新Pro／年</x:v>
      </x:c>
      <x:c r="E349" s="72" t="n">
        <x:v>11628</x:v>
      </x:c>
      <x:c r="F349" s="71" t="str">
        <x:v>Ksh 11,628</x:v>
      </x:c>
      <x:c r="G349" s="71" t="str">
        <x:v>en-KE</x:v>
      </x:c>
    </x:row>
    <x:row r="350" ht="27" customHeight="1">
      <x:c r="A350" s="71" t="str">
        <x:v>肯尼亚</x:v>
      </x:c>
      <x:c r="B350" s="71" t="str">
        <x:v>第2组</x:v>
      </x:c>
      <x:c r="C350" s="71" t="str">
        <x:v>KES</x:v>
      </x:c>
      <x:c r="D350" s="71" t="str">
        <x:v>作业包／3份</x:v>
      </x:c>
      <x:c r="E350" s="72" t="n">
        <x:v>329</x:v>
      </x:c>
      <x:c r="F350" s="71" t="str">
        <x:v>Ksh 329</x:v>
      </x:c>
      <x:c r="G350" s="71" t="str">
        <x:v>en-KE</x:v>
      </x:c>
    </x:row>
    <x:row r="351" ht="27" customHeight="1">
      <x:c r="A351" s="71" t="str">
        <x:v>肯尼亚</x:v>
      </x:c>
      <x:c r="B351" s="71" t="str">
        <x:v>第2组</x:v>
      </x:c>
      <x:c r="C351" s="71" t="str">
        <x:v>KES</x:v>
      </x:c>
      <x:c r="D351" s="71" t="str">
        <x:v>检测包／5份</x:v>
      </x:c>
      <x:c r="E351" s="72" t="n">
        <x:v>159</x:v>
      </x:c>
      <x:c r="F351" s="71" t="str">
        <x:v>Ksh 159</x:v>
      </x:c>
      <x:c r="G351" s="71" t="str">
        <x:v>en-KE</x:v>
      </x:c>
    </x:row>
    <x:row r="352" ht="27" customHeight="1">
      <x:c r="A352" s="71" t="str">
        <x:v>肯尼亚</x:v>
      </x:c>
      <x:c r="B352" s="71" t="str">
        <x:v>第2组</x:v>
      </x:c>
      <x:c r="C352" s="71" t="str">
        <x:v>KES</x:v>
      </x:c>
      <x:c r="D352" s="71" t="str">
        <x:v>Humanizer包／3份</x:v>
      </x:c>
      <x:c r="E352" s="72" t="n">
        <x:v>229</x:v>
      </x:c>
      <x:c r="F352" s="71" t="str">
        <x:v>Ksh 229</x:v>
      </x:c>
      <x:c r="G352" s="71" t="str">
        <x:v>en-KE</x:v>
      </x:c>
    </x:row>
    <x:row r="353" ht="27" customHeight="1">
      <x:c r="A353" s="71" t="str">
        <x:v>肯尼亚</x:v>
      </x:c>
      <x:c r="B353" s="71" t="str">
        <x:v>第2组</x:v>
      </x:c>
      <x:c r="C353" s="71" t="str">
        <x:v>KES</x:v>
      </x:c>
      <x:c r="D353" s="71" t="str">
        <x:v>Study Pass／月</x:v>
      </x:c>
      <x:c r="E353" s="72" t="n">
        <x:v>78</x:v>
      </x:c>
      <x:c r="F353" s="71" t="str">
        <x:v>Ksh 78</x:v>
      </x:c>
      <x:c r="G353" s="71" t="str">
        <x:v>en-KE</x:v>
      </x:c>
    </x:row>
    <x:row r="354" ht="27" customHeight="1">
      <x:c r="A354" s="71" t="str">
        <x:v>斯洛文尼亚</x:v>
      </x:c>
      <x:c r="B354" s="71" t="str">
        <x:v>第2组</x:v>
      </x:c>
      <x:c r="C354" s="71" t="str">
        <x:v>EUR</x:v>
      </x:c>
      <x:c r="D354" s="71" t="str">
        <x:v>Trial／7天</x:v>
      </x:c>
      <x:c r="E354" s="73" t="n">
        <x:v>1.49</x:v>
      </x:c>
      <x:c r="F354" s="71" t="str">
        <x:v>1,49 €</x:v>
      </x:c>
      <x:c r="G354" s="71" t="str">
        <x:v>sl-SI</x:v>
      </x:c>
    </x:row>
    <x:row r="355" ht="27" customHeight="1">
      <x:c r="A355" s="71" t="str">
        <x:v>斯洛文尼亚</x:v>
      </x:c>
      <x:c r="B355" s="71" t="str">
        <x:v>第2组</x:v>
      </x:c>
      <x:c r="C355" s="71" t="str">
        <x:v>EUR</x:v>
      </x:c>
      <x:c r="D355" s="71" t="str">
        <x:v>Basic／月</x:v>
      </x:c>
      <x:c r="E355" s="73" t="n">
        <x:v>10.99</x:v>
      </x:c>
      <x:c r="F355" s="71" t="str">
        <x:v>10,99 €</x:v>
      </x:c>
      <x:c r="G355" s="71" t="str">
        <x:v>sl-SI</x:v>
      </x:c>
    </x:row>
    <x:row r="356" ht="27" customHeight="1">
      <x:c r="A356" s="71" t="str">
        <x:v>斯洛文尼亚</x:v>
      </x:c>
      <x:c r="B356" s="71" t="str">
        <x:v>第2组</x:v>
      </x:c>
      <x:c r="C356" s="71" t="str">
        <x:v>EUR</x:v>
      </x:c>
      <x:c r="D356" s="71" t="str">
        <x:v>Plus／月</x:v>
      </x:c>
      <x:c r="E356" s="73" t="n">
        <x:v>20.99</x:v>
      </x:c>
      <x:c r="F356" s="71" t="str">
        <x:v>20,99 €</x:v>
      </x:c>
      <x:c r="G356" s="71" t="str">
        <x:v>sl-SI</x:v>
      </x:c>
    </x:row>
    <x:row r="357" ht="27" customHeight="1">
      <x:c r="A357" s="71" t="str">
        <x:v>斯洛文尼亚</x:v>
      </x:c>
      <x:c r="B357" s="71" t="str">
        <x:v>第2组</x:v>
      </x:c>
      <x:c r="C357" s="71" t="str">
        <x:v>EUR</x:v>
      </x:c>
      <x:c r="D357" s="71" t="str">
        <x:v>新Pro／月</x:v>
      </x:c>
      <x:c r="E357" s="73" t="n">
        <x:v>15.99</x:v>
      </x:c>
      <x:c r="F357" s="71" t="str">
        <x:v>15,99 €</x:v>
      </x:c>
      <x:c r="G357" s="71" t="str">
        <x:v>sl-SI</x:v>
      </x:c>
    </x:row>
    <x:row r="358" ht="27" customHeight="1">
      <x:c r="A358" s="71" t="str">
        <x:v>斯洛文尼亚</x:v>
      </x:c>
      <x:c r="B358" s="71" t="str">
        <x:v>第2组</x:v>
      </x:c>
      <x:c r="C358" s="71" t="str">
        <x:v>EUR</x:v>
      </x:c>
      <x:c r="D358" s="71" t="str">
        <x:v>Basic／年</x:v>
      </x:c>
      <x:c r="E358" s="73" t="n">
        <x:v>51.99</x:v>
      </x:c>
      <x:c r="F358" s="71" t="str">
        <x:v>51,99 €</x:v>
      </x:c>
      <x:c r="G358" s="71" t="str">
        <x:v>sl-SI</x:v>
      </x:c>
    </x:row>
    <x:row r="359" ht="27" customHeight="1">
      <x:c r="A359" s="71" t="str">
        <x:v>斯洛文尼亚</x:v>
      </x:c>
      <x:c r="B359" s="71" t="str">
        <x:v>第2组</x:v>
      </x:c>
      <x:c r="C359" s="71" t="str">
        <x:v>EUR</x:v>
      </x:c>
      <x:c r="D359" s="71" t="str">
        <x:v>Plus／年</x:v>
      </x:c>
      <x:c r="E359" s="73" t="n">
        <x:v>101.99</x:v>
      </x:c>
      <x:c r="F359" s="71" t="str">
        <x:v>101,99 €</x:v>
      </x:c>
      <x:c r="G359" s="71" t="str">
        <x:v>sl-SI</x:v>
      </x:c>
    </x:row>
    <x:row r="360" ht="27" customHeight="1">
      <x:c r="A360" s="71" t="str">
        <x:v>斯洛文尼亚</x:v>
      </x:c>
      <x:c r="B360" s="71" t="str">
        <x:v>第2组</x:v>
      </x:c>
      <x:c r="C360" s="71" t="str">
        <x:v>EUR</x:v>
      </x:c>
      <x:c r="D360" s="71" t="str">
        <x:v>新Pro／年</x:v>
      </x:c>
      <x:c r="E360" s="73" t="n">
        <x:v>191.88</x:v>
      </x:c>
      <x:c r="F360" s="71" t="str">
        <x:v>191,88 €</x:v>
      </x:c>
      <x:c r="G360" s="71" t="str">
        <x:v>sl-SI</x:v>
      </x:c>
    </x:row>
    <x:row r="361" ht="27" customHeight="1">
      <x:c r="A361" s="71" t="str">
        <x:v>斯洛文尼亚</x:v>
      </x:c>
      <x:c r="B361" s="71" t="str">
        <x:v>第2组</x:v>
      </x:c>
      <x:c r="C361" s="71" t="str">
        <x:v>EUR</x:v>
      </x:c>
      <x:c r="D361" s="71" t="str">
        <x:v>作业包／3份</x:v>
      </x:c>
      <x:c r="E361" s="73" t="n">
        <x:v>5.49</x:v>
      </x:c>
      <x:c r="F361" s="71" t="str">
        <x:v>5,49 €</x:v>
      </x:c>
      <x:c r="G361" s="71" t="str">
        <x:v>sl-SI</x:v>
      </x:c>
    </x:row>
    <x:row r="362" ht="27" customHeight="1">
      <x:c r="A362" s="71" t="str">
        <x:v>斯洛文尼亚</x:v>
      </x:c>
      <x:c r="B362" s="71" t="str">
        <x:v>第2组</x:v>
      </x:c>
      <x:c r="C362" s="71" t="str">
        <x:v>EUR</x:v>
      </x:c>
      <x:c r="D362" s="71" t="str">
        <x:v>检测包／5份</x:v>
      </x:c>
      <x:c r="E362" s="73" t="n">
        <x:v>2.49</x:v>
      </x:c>
      <x:c r="F362" s="71" t="str">
        <x:v>2,49 €</x:v>
      </x:c>
      <x:c r="G362" s="71" t="str">
        <x:v>sl-SI</x:v>
      </x:c>
    </x:row>
    <x:row r="363" ht="27" customHeight="1">
      <x:c r="A363" s="71" t="str">
        <x:v>斯洛文尼亚</x:v>
      </x:c>
      <x:c r="B363" s="71" t="str">
        <x:v>第2组</x:v>
      </x:c>
      <x:c r="C363" s="71" t="str">
        <x:v>EUR</x:v>
      </x:c>
      <x:c r="D363" s="71" t="str">
        <x:v>Humanizer包／3份</x:v>
      </x:c>
      <x:c r="E363" s="73" t="n">
        <x:v>3.49</x:v>
      </x:c>
      <x:c r="F363" s="71" t="str">
        <x:v>3,49 €</x:v>
      </x:c>
      <x:c r="G363" s="71" t="str">
        <x:v>sl-SI</x:v>
      </x:c>
    </x:row>
    <x:row r="364" ht="27" customHeight="1">
      <x:c r="A364" s="71" t="str">
        <x:v>斯洛文尼亚</x:v>
      </x:c>
      <x:c r="B364" s="71" t="str">
        <x:v>第2组</x:v>
      </x:c>
      <x:c r="C364" s="71" t="str">
        <x:v>EUR</x:v>
      </x:c>
      <x:c r="D364" s="71" t="str">
        <x:v>Study Pass／月</x:v>
      </x:c>
      <x:c r="E364" s="73" t="n">
        <x:v>0.53</x:v>
      </x:c>
      <x:c r="F364" s="71" t="str">
        <x:v>0,53 €</x:v>
      </x:c>
      <x:c r="G364" s="71" t="str">
        <x:v>sl-SI</x:v>
      </x:c>
    </x:row>
    <x:row r="365" ht="27" customHeight="1">
      <x:c r="A365" s="71" t="str">
        <x:v>阿尔及利亚</x:v>
      </x:c>
      <x:c r="B365" s="71" t="str">
        <x:v>第2组</x:v>
      </x:c>
      <x:c r="C365" s="71" t="str">
        <x:v>DZD</x:v>
      </x:c>
      <x:c r="D365" s="71" t="str">
        <x:v>Trial／7天</x:v>
      </x:c>
      <x:c r="E365" s="72" t="n">
        <x:v>119</x:v>
      </x:c>
      <x:c r="F365" s="71" t="str">
        <x:v>‏119 د.ج.‏</x:v>
      </x:c>
      <x:c r="G365" s="71" t="str">
        <x:v>ar-DZ</x:v>
      </x:c>
    </x:row>
    <x:row r="366" ht="27" customHeight="1">
      <x:c r="A366" s="71" t="str">
        <x:v>阿尔及利亚</x:v>
      </x:c>
      <x:c r="B366" s="71" t="str">
        <x:v>第2组</x:v>
      </x:c>
      <x:c r="C366" s="71" t="str">
        <x:v>DZD</x:v>
      </x:c>
      <x:c r="D366" s="71" t="str">
        <x:v>Basic／月</x:v>
      </x:c>
      <x:c r="E366" s="72" t="n">
        <x:v>809</x:v>
      </x:c>
      <x:c r="F366" s="71" t="str">
        <x:v>‏809 د.ج.‏</x:v>
      </x:c>
      <x:c r="G366" s="71" t="str">
        <x:v>ar-DZ</x:v>
      </x:c>
    </x:row>
    <x:row r="367" ht="27" customHeight="1">
      <x:c r="A367" s="71" t="str">
        <x:v>阿尔及利亚</x:v>
      </x:c>
      <x:c r="B367" s="71" t="str">
        <x:v>第2组</x:v>
      </x:c>
      <x:c r="C367" s="71" t="str">
        <x:v>DZD</x:v>
      </x:c>
      <x:c r="D367" s="71" t="str">
        <x:v>Plus／月</x:v>
      </x:c>
      <x:c r="E367" s="72" t="n">
        <x:v>1599</x:v>
      </x:c>
      <x:c r="F367" s="71" t="str">
        <x:v>‏1.599 د.ج.‏</x:v>
      </x:c>
      <x:c r="G367" s="71" t="str">
        <x:v>ar-DZ</x:v>
      </x:c>
    </x:row>
    <x:row r="368" ht="27" customHeight="1">
      <x:c r="A368" s="71" t="str">
        <x:v>阿尔及利亚</x:v>
      </x:c>
      <x:c r="B368" s="71" t="str">
        <x:v>第2组</x:v>
      </x:c>
      <x:c r="C368" s="71" t="str">
        <x:v>DZD</x:v>
      </x:c>
      <x:c r="D368" s="71" t="str">
        <x:v>新Pro／月</x:v>
      </x:c>
      <x:c r="E368" s="72" t="n">
        <x:v>1199</x:v>
      </x:c>
      <x:c r="F368" s="71" t="str">
        <x:v>‏1.199 د.ج.‏</x:v>
      </x:c>
      <x:c r="G368" s="71" t="str">
        <x:v>ar-DZ</x:v>
      </x:c>
    </x:row>
    <x:row r="369" ht="27" customHeight="1">
      <x:c r="A369" s="71" t="str">
        <x:v>阿尔及利亚</x:v>
      </x:c>
      <x:c r="B369" s="71" t="str">
        <x:v>第2组</x:v>
      </x:c>
      <x:c r="C369" s="71" t="str">
        <x:v>DZD</x:v>
      </x:c>
      <x:c r="D369" s="71" t="str">
        <x:v>Basic／年</x:v>
      </x:c>
      <x:c r="E369" s="72" t="n">
        <x:v>3899</x:v>
      </x:c>
      <x:c r="F369" s="71" t="str">
        <x:v>‏3.899 د.ج.‏</x:v>
      </x:c>
      <x:c r="G369" s="71" t="str">
        <x:v>ar-DZ</x:v>
      </x:c>
    </x:row>
    <x:row r="370" ht="27" customHeight="1">
      <x:c r="A370" s="71" t="str">
        <x:v>阿尔及利亚</x:v>
      </x:c>
      <x:c r="B370" s="71" t="str">
        <x:v>第2组</x:v>
      </x:c>
      <x:c r="C370" s="71" t="str">
        <x:v>DZD</x:v>
      </x:c>
      <x:c r="D370" s="71" t="str">
        <x:v>Plus／年</x:v>
      </x:c>
      <x:c r="E370" s="72" t="n">
        <x:v>7699</x:v>
      </x:c>
      <x:c r="F370" s="71" t="str">
        <x:v>‏7.699 د.ج.‏</x:v>
      </x:c>
      <x:c r="G370" s="71" t="str">
        <x:v>ar-DZ</x:v>
      </x:c>
    </x:row>
    <x:row r="371" ht="27" customHeight="1">
      <x:c r="A371" s="71" t="str">
        <x:v>阿尔及利亚</x:v>
      </x:c>
      <x:c r="B371" s="71" t="str">
        <x:v>第2组</x:v>
      </x:c>
      <x:c r="C371" s="71" t="str">
        <x:v>DZD</x:v>
      </x:c>
      <x:c r="D371" s="71" t="str">
        <x:v>新Pro／年</x:v>
      </x:c>
      <x:c r="E371" s="72" t="n">
        <x:v>14388</x:v>
      </x:c>
      <x:c r="F371" s="71" t="str">
        <x:v>‏14.388 د.ج.‏</x:v>
      </x:c>
      <x:c r="G371" s="71" t="str">
        <x:v>ar-DZ</x:v>
      </x:c>
    </x:row>
    <x:row r="372" ht="27" customHeight="1">
      <x:c r="A372" s="71" t="str">
        <x:v>阿尔及利亚</x:v>
      </x:c>
      <x:c r="B372" s="71" t="str">
        <x:v>第2组</x:v>
      </x:c>
      <x:c r="C372" s="71" t="str">
        <x:v>DZD</x:v>
      </x:c>
      <x:c r="D372" s="71" t="str">
        <x:v>作业包／3份</x:v>
      </x:c>
      <x:c r="E372" s="72" t="n">
        <x:v>399</x:v>
      </x:c>
      <x:c r="F372" s="71" t="str">
        <x:v>‏399 د.ج.‏</x:v>
      </x:c>
      <x:c r="G372" s="71" t="str">
        <x:v>ar-DZ</x:v>
      </x:c>
    </x:row>
    <x:row r="373" ht="27" customHeight="1">
      <x:c r="A373" s="71" t="str">
        <x:v>阿尔及利亚</x:v>
      </x:c>
      <x:c r="B373" s="71" t="str">
        <x:v>第2组</x:v>
      </x:c>
      <x:c r="C373" s="71" t="str">
        <x:v>DZD</x:v>
      </x:c>
      <x:c r="D373" s="71" t="str">
        <x:v>检测包／5份</x:v>
      </x:c>
      <x:c r="E373" s="72" t="n">
        <x:v>199</x:v>
      </x:c>
      <x:c r="F373" s="71" t="str">
        <x:v>‏199 د.ج.‏</x:v>
      </x:c>
      <x:c r="G373" s="71" t="str">
        <x:v>ar-DZ</x:v>
      </x:c>
    </x:row>
    <x:row r="374" ht="27" customHeight="1">
      <x:c r="A374" s="71" t="str">
        <x:v>阿尔及利亚</x:v>
      </x:c>
      <x:c r="B374" s="71" t="str">
        <x:v>第2组</x:v>
      </x:c>
      <x:c r="C374" s="71" t="str">
        <x:v>DZD</x:v>
      </x:c>
      <x:c r="D374" s="71" t="str">
        <x:v>Humanizer包／3份</x:v>
      </x:c>
      <x:c r="E374" s="72" t="n">
        <x:v>279</x:v>
      </x:c>
      <x:c r="F374" s="71" t="str">
        <x:v>‏279 د.ج.‏</x:v>
      </x:c>
      <x:c r="G374" s="71" t="str">
        <x:v>ar-DZ</x:v>
      </x:c>
    </x:row>
    <x:row r="375" ht="27" customHeight="1">
      <x:c r="A375" s="71" t="str">
        <x:v>阿尔及利亚</x:v>
      </x:c>
      <x:c r="B375" s="71" t="str">
        <x:v>第2组</x:v>
      </x:c>
      <x:c r="C375" s="71" t="str">
        <x:v>DZD</x:v>
      </x:c>
      <x:c r="D375" s="71" t="str">
        <x:v>Study Pass／月</x:v>
      </x:c>
      <x:c r="E375" s="72" t="n">
        <x:v>81</x:v>
      </x:c>
      <x:c r="F375" s="71" t="str">
        <x:v>‏81 د.ج.‏</x:v>
      </x:c>
      <x:c r="G375" s="71" t="str">
        <x:v>ar-DZ</x:v>
      </x:c>
    </x:row>
    <x:row r="376" ht="27" customHeight="1">
      <x:c r="A376" s="71" t="str">
        <x:v>厄瓜多尔</x:v>
      </x:c>
      <x:c r="B376" s="71" t="str">
        <x:v>第2组</x:v>
      </x:c>
      <x:c r="C376" s="71" t="str">
        <x:v>USD</x:v>
      </x:c>
      <x:c r="D376" s="71" t="str">
        <x:v>Trial／7天</x:v>
      </x:c>
      <x:c r="E376" s="73" t="n">
        <x:v>0.99</x:v>
      </x:c>
      <x:c r="F376" s="71" t="str">
        <x:v>US$0,99</x:v>
      </x:c>
      <x:c r="G376" s="71" t="str">
        <x:v>es-EC</x:v>
      </x:c>
    </x:row>
    <x:row r="377" ht="27" customHeight="1">
      <x:c r="A377" s="71" t="str">
        <x:v>厄瓜多尔</x:v>
      </x:c>
      <x:c r="B377" s="71" t="str">
        <x:v>第2组</x:v>
      </x:c>
      <x:c r="C377" s="71" t="str">
        <x:v>USD</x:v>
      </x:c>
      <x:c r="D377" s="71" t="str">
        <x:v>Basic／月</x:v>
      </x:c>
      <x:c r="E377" s="73" t="n">
        <x:v>6.99</x:v>
      </x:c>
      <x:c r="F377" s="71" t="str">
        <x:v>US$6,99</x:v>
      </x:c>
      <x:c r="G377" s="71" t="str">
        <x:v>es-EC</x:v>
      </x:c>
    </x:row>
    <x:row r="378" ht="27" customHeight="1">
      <x:c r="A378" s="71" t="str">
        <x:v>厄瓜多尔</x:v>
      </x:c>
      <x:c r="B378" s="71" t="str">
        <x:v>第2组</x:v>
      </x:c>
      <x:c r="C378" s="71" t="str">
        <x:v>USD</x:v>
      </x:c>
      <x:c r="D378" s="71" t="str">
        <x:v>Plus／月</x:v>
      </x:c>
      <x:c r="E378" s="73" t="n">
        <x:v>13.99</x:v>
      </x:c>
      <x:c r="F378" s="71" t="str">
        <x:v>US$13,99</x:v>
      </x:c>
      <x:c r="G378" s="71" t="str">
        <x:v>es-EC</x:v>
      </x:c>
    </x:row>
    <x:row r="379" ht="27" customHeight="1">
      <x:c r="A379" s="71" t="str">
        <x:v>厄瓜多尔</x:v>
      </x:c>
      <x:c r="B379" s="71" t="str">
        <x:v>第2组</x:v>
      </x:c>
      <x:c r="C379" s="71" t="str">
        <x:v>USD</x:v>
      </x:c>
      <x:c r="D379" s="71" t="str">
        <x:v>新Pro／月</x:v>
      </x:c>
      <x:c r="E379" s="73" t="n">
        <x:v>10.99</x:v>
      </x:c>
      <x:c r="F379" s="71" t="str">
        <x:v>US$10,99</x:v>
      </x:c>
      <x:c r="G379" s="71" t="str">
        <x:v>es-EC</x:v>
      </x:c>
    </x:row>
    <x:row r="380" ht="27" customHeight="1">
      <x:c r="A380" s="71" t="str">
        <x:v>厄瓜多尔</x:v>
      </x:c>
      <x:c r="B380" s="71" t="str">
        <x:v>第2组</x:v>
      </x:c>
      <x:c r="C380" s="71" t="str">
        <x:v>USD</x:v>
      </x:c>
      <x:c r="D380" s="71" t="str">
        <x:v>Basic／年</x:v>
      </x:c>
      <x:c r="E380" s="73" t="n">
        <x:v>33.99</x:v>
      </x:c>
      <x:c r="F380" s="71" t="str">
        <x:v>US$33,99</x:v>
      </x:c>
      <x:c r="G380" s="71" t="str">
        <x:v>es-EC</x:v>
      </x:c>
    </x:row>
    <x:row r="381" ht="27" customHeight="1">
      <x:c r="A381" s="71" t="str">
        <x:v>厄瓜多尔</x:v>
      </x:c>
      <x:c r="B381" s="71" t="str">
        <x:v>第2组</x:v>
      </x:c>
      <x:c r="C381" s="71" t="str">
        <x:v>USD</x:v>
      </x:c>
      <x:c r="D381" s="71" t="str">
        <x:v>Plus／年</x:v>
      </x:c>
      <x:c r="E381" s="73" t="n">
        <x:v>66.99</x:v>
      </x:c>
      <x:c r="F381" s="71" t="str">
        <x:v>US$66,99</x:v>
      </x:c>
      <x:c r="G381" s="71" t="str">
        <x:v>es-EC</x:v>
      </x:c>
    </x:row>
    <x:row r="382" ht="27" customHeight="1">
      <x:c r="A382" s="71" t="str">
        <x:v>厄瓜多尔</x:v>
      </x:c>
      <x:c r="B382" s="71" t="str">
        <x:v>第2组</x:v>
      </x:c>
      <x:c r="C382" s="71" t="str">
        <x:v>USD</x:v>
      </x:c>
      <x:c r="D382" s="71" t="str">
        <x:v>新Pro／年</x:v>
      </x:c>
      <x:c r="E382" s="73" t="n">
        <x:v>131.88</x:v>
      </x:c>
      <x:c r="F382" s="71" t="str">
        <x:v>US$131,88</x:v>
      </x:c>
      <x:c r="G382" s="71" t="str">
        <x:v>es-EC</x:v>
      </x:c>
    </x:row>
    <x:row r="383" ht="27" customHeight="1">
      <x:c r="A383" s="71" t="str">
        <x:v>厄瓜多尔</x:v>
      </x:c>
      <x:c r="B383" s="71" t="str">
        <x:v>第2组</x:v>
      </x:c>
      <x:c r="C383" s="71" t="str">
        <x:v>USD</x:v>
      </x:c>
      <x:c r="D383" s="71" t="str">
        <x:v>作业包／3份</x:v>
      </x:c>
      <x:c r="E383" s="73" t="n">
        <x:v>3.49</x:v>
      </x:c>
      <x:c r="F383" s="71" t="str">
        <x:v>US$3,49</x:v>
      </x:c>
      <x:c r="G383" s="71" t="str">
        <x:v>es-EC</x:v>
      </x:c>
    </x:row>
    <x:row r="384" ht="27" customHeight="1">
      <x:c r="A384" s="71" t="str">
        <x:v>厄瓜多尔</x:v>
      </x:c>
      <x:c r="B384" s="71" t="str">
        <x:v>第2组</x:v>
      </x:c>
      <x:c r="C384" s="71" t="str">
        <x:v>USD</x:v>
      </x:c>
      <x:c r="D384" s="71" t="str">
        <x:v>检测包／5份</x:v>
      </x:c>
      <x:c r="E384" s="73" t="n">
        <x:v>1.79</x:v>
      </x:c>
      <x:c r="F384" s="71" t="str">
        <x:v>US$1,79</x:v>
      </x:c>
      <x:c r="G384" s="71" t="str">
        <x:v>es-EC</x:v>
      </x:c>
    </x:row>
    <x:row r="385" ht="27" customHeight="1">
      <x:c r="A385" s="71" t="str">
        <x:v>厄瓜多尔</x:v>
      </x:c>
      <x:c r="B385" s="71" t="str">
        <x:v>第2组</x:v>
      </x:c>
      <x:c r="C385" s="71" t="str">
        <x:v>USD</x:v>
      </x:c>
      <x:c r="D385" s="71" t="str">
        <x:v>Humanizer包／3份</x:v>
      </x:c>
      <x:c r="E385" s="73" t="n">
        <x:v>2.49</x:v>
      </x:c>
      <x:c r="F385" s="71" t="str">
        <x:v>US$2,49</x:v>
      </x:c>
      <x:c r="G385" s="71" t="str">
        <x:v>es-EC</x:v>
      </x:c>
    </x:row>
    <x:row r="386" ht="27" customHeight="1">
      <x:c r="A386" s="71" t="str">
        <x:v>厄瓜多尔</x:v>
      </x:c>
      <x:c r="B386" s="71" t="str">
        <x:v>第2组</x:v>
      </x:c>
      <x:c r="C386" s="71" t="str">
        <x:v>USD</x:v>
      </x:c>
      <x:c r="D386" s="71" t="str">
        <x:v>Study Pass／月</x:v>
      </x:c>
      <x:c r="E386" s="73" t="n">
        <x:v>0.6</x:v>
      </x:c>
      <x:c r="F386" s="71" t="str">
        <x:v>US$0,60</x:v>
      </x:c>
      <x:c r="G386" s="71" t="str">
        <x:v>es-EC</x:v>
      </x:c>
    </x:row>
    <x:row r="387" ht="27" customHeight="1">
      <x:c r="A387" s="71" t="str">
        <x:v>中国澳门</x:v>
      </x:c>
      <x:c r="B387" s="71" t="str">
        <x:v>第2组</x:v>
      </x:c>
      <x:c r="C387" s="71" t="str">
        <x:v>MOP</x:v>
      </x:c>
      <x:c r="D387" s="71" t="str">
        <x:v>Trial／7天</x:v>
      </x:c>
      <x:c r="E387" s="73" t="n">
        <x:v>19</x:v>
      </x:c>
      <x:c r="F387" s="71" t="str">
        <x:v>MOP$19.00</x:v>
      </x:c>
      <x:c r="G387" s="71" t="str">
        <x:v>zh-MO</x:v>
      </x:c>
    </x:row>
    <x:row r="388" ht="27" customHeight="1">
      <x:c r="A388" s="71" t="str">
        <x:v>中国澳门</x:v>
      </x:c>
      <x:c r="B388" s="71" t="str">
        <x:v>第2组</x:v>
      </x:c>
      <x:c r="C388" s="71" t="str">
        <x:v>MOP</x:v>
      </x:c>
      <x:c r="D388" s="71" t="str">
        <x:v>Basic／月</x:v>
      </x:c>
      <x:c r="E388" s="73" t="n">
        <x:v>129</x:v>
      </x:c>
      <x:c r="F388" s="71" t="str">
        <x:v>MOP$129.00</x:v>
      </x:c>
      <x:c r="G388" s="71" t="str">
        <x:v>zh-MO</x:v>
      </x:c>
    </x:row>
    <x:row r="389" ht="27" customHeight="1">
      <x:c r="A389" s="71" t="str">
        <x:v>中国澳门</x:v>
      </x:c>
      <x:c r="B389" s="71" t="str">
        <x:v>第2组</x:v>
      </x:c>
      <x:c r="C389" s="71" t="str">
        <x:v>MOP</x:v>
      </x:c>
      <x:c r="D389" s="71" t="str">
        <x:v>Plus／月</x:v>
      </x:c>
      <x:c r="E389" s="73" t="n">
        <x:v>259</x:v>
      </x:c>
      <x:c r="F389" s="71" t="str">
        <x:v>MOP$259.00</x:v>
      </x:c>
      <x:c r="G389" s="71" t="str">
        <x:v>zh-MO</x:v>
      </x:c>
    </x:row>
    <x:row r="390" ht="27" customHeight="1">
      <x:c r="A390" s="71" t="str">
        <x:v>中国澳门</x:v>
      </x:c>
      <x:c r="B390" s="71" t="str">
        <x:v>第2组</x:v>
      </x:c>
      <x:c r="C390" s="71" t="str">
        <x:v>MOP</x:v>
      </x:c>
      <x:c r="D390" s="71" t="str">
        <x:v>新Pro／月</x:v>
      </x:c>
      <x:c r="E390" s="73" t="n">
        <x:v>199</x:v>
      </x:c>
      <x:c r="F390" s="71" t="str">
        <x:v>MOP$199.00</x:v>
      </x:c>
      <x:c r="G390" s="71" t="str">
        <x:v>zh-MO</x:v>
      </x:c>
    </x:row>
    <x:row r="391" ht="27" customHeight="1">
      <x:c r="A391" s="71" t="str">
        <x:v>中国澳门</x:v>
      </x:c>
      <x:c r="B391" s="71" t="str">
        <x:v>第2组</x:v>
      </x:c>
      <x:c r="C391" s="71" t="str">
        <x:v>MOP</x:v>
      </x:c>
      <x:c r="D391" s="71" t="str">
        <x:v>Basic／年</x:v>
      </x:c>
      <x:c r="E391" s="73" t="n">
        <x:v>619</x:v>
      </x:c>
      <x:c r="F391" s="71" t="str">
        <x:v>MOP$619.00</x:v>
      </x:c>
      <x:c r="G391" s="71" t="str">
        <x:v>zh-MO</x:v>
      </x:c>
    </x:row>
    <x:row r="392" ht="27" customHeight="1">
      <x:c r="A392" s="71" t="str">
        <x:v>中国澳门</x:v>
      </x:c>
      <x:c r="B392" s="71" t="str">
        <x:v>第2组</x:v>
      </x:c>
      <x:c r="C392" s="71" t="str">
        <x:v>MOP</x:v>
      </x:c>
      <x:c r="D392" s="71" t="str">
        <x:v>Plus／年</x:v>
      </x:c>
      <x:c r="E392" s="73" t="n">
        <x:v>1249</x:v>
      </x:c>
      <x:c r="F392" s="71" t="str">
        <x:v>MOP$1,249.00</x:v>
      </x:c>
      <x:c r="G392" s="71" t="str">
        <x:v>zh-MO</x:v>
      </x:c>
    </x:row>
    <x:row r="393" ht="27" customHeight="1">
      <x:c r="A393" s="71" t="str">
        <x:v>中国澳门</x:v>
      </x:c>
      <x:c r="B393" s="71" t="str">
        <x:v>第2组</x:v>
      </x:c>
      <x:c r="C393" s="71" t="str">
        <x:v>MOP</x:v>
      </x:c>
      <x:c r="D393" s="71" t="str">
        <x:v>新Pro／年</x:v>
      </x:c>
      <x:c r="E393" s="73" t="n">
        <x:v>2388</x:v>
      </x:c>
      <x:c r="F393" s="71" t="str">
        <x:v>MOP$2,388.00</x:v>
      </x:c>
      <x:c r="G393" s="71" t="str">
        <x:v>zh-MO</x:v>
      </x:c>
    </x:row>
    <x:row r="394" ht="27" customHeight="1">
      <x:c r="A394" s="71" t="str">
        <x:v>中国澳门</x:v>
      </x:c>
      <x:c r="B394" s="71" t="str">
        <x:v>第2组</x:v>
      </x:c>
      <x:c r="C394" s="71" t="str">
        <x:v>MOP</x:v>
      </x:c>
      <x:c r="D394" s="71" t="str">
        <x:v>作业包／3份</x:v>
      </x:c>
      <x:c r="E394" s="73" t="n">
        <x:v>65</x:v>
      </x:c>
      <x:c r="F394" s="71" t="str">
        <x:v>MOP$65.00</x:v>
      </x:c>
      <x:c r="G394" s="71" t="str">
        <x:v>zh-MO</x:v>
      </x:c>
    </x:row>
    <x:row r="395" ht="27" customHeight="1">
      <x:c r="A395" s="71" t="str">
        <x:v>中国澳门</x:v>
      </x:c>
      <x:c r="B395" s="71" t="str">
        <x:v>第2组</x:v>
      </x:c>
      <x:c r="C395" s="71" t="str">
        <x:v>MOP</x:v>
      </x:c>
      <x:c r="D395" s="71" t="str">
        <x:v>检测包／5份</x:v>
      </x:c>
      <x:c r="E395" s="73" t="n">
        <x:v>32</x:v>
      </x:c>
      <x:c r="F395" s="71" t="str">
        <x:v>MOP$32.00</x:v>
      </x:c>
      <x:c r="G395" s="71" t="str">
        <x:v>zh-MO</x:v>
      </x:c>
    </x:row>
    <x:row r="396" ht="27" customHeight="1">
      <x:c r="A396" s="71" t="str">
        <x:v>中国澳门</x:v>
      </x:c>
      <x:c r="B396" s="71" t="str">
        <x:v>第2组</x:v>
      </x:c>
      <x:c r="C396" s="71" t="str">
        <x:v>MOP</x:v>
      </x:c>
      <x:c r="D396" s="71" t="str">
        <x:v>Humanizer包／3份</x:v>
      </x:c>
      <x:c r="E396" s="73" t="n">
        <x:v>45</x:v>
      </x:c>
      <x:c r="F396" s="71" t="str">
        <x:v>MOP$45.00</x:v>
      </x:c>
      <x:c r="G396" s="71" t="str">
        <x:v>zh-MO</x:v>
      </x:c>
    </x:row>
    <x:row r="397" ht="27" customHeight="1">
      <x:c r="A397" s="71" t="str">
        <x:v>中国澳门</x:v>
      </x:c>
      <x:c r="B397" s="71" t="str">
        <x:v>第2组</x:v>
      </x:c>
      <x:c r="C397" s="71" t="str">
        <x:v>MOP</x:v>
      </x:c>
      <x:c r="D397" s="71" t="str">
        <x:v>Study Pass／月</x:v>
      </x:c>
      <x:c r="E397" s="73" t="n">
        <x:v>6.4</x:v>
      </x:c>
      <x:c r="F397" s="71" t="str">
        <x:v>MOP$6.40</x:v>
      </x:c>
      <x:c r="G397" s="71" t="str">
        <x:v>zh-MO</x:v>
      </x:c>
    </x:row>
    <x:row r="398" ht="27" customHeight="1">
      <x:c r="A398" s="71" t="str">
        <x:v>新西兰</x:v>
      </x:c>
      <x:c r="B398" s="71" t="str">
        <x:v>第2组</x:v>
      </x:c>
      <x:c r="C398" s="71" t="str">
        <x:v>NZD</x:v>
      </x:c>
      <x:c r="D398" s="71" t="str">
        <x:v>Trial／7天</x:v>
      </x:c>
      <x:c r="E398" s="73" t="n">
        <x:v>4.49</x:v>
      </x:c>
      <x:c r="F398" s="71" t="str">
        <x:v>$4.49</x:v>
      </x:c>
      <x:c r="G398" s="71" t="str">
        <x:v>en-NZ</x:v>
      </x:c>
    </x:row>
    <x:row r="399" ht="27" customHeight="1">
      <x:c r="A399" s="71" t="str">
        <x:v>新西兰</x:v>
      </x:c>
      <x:c r="B399" s="71" t="str">
        <x:v>第2组</x:v>
      </x:c>
      <x:c r="C399" s="71" t="str">
        <x:v>NZD</x:v>
      </x:c>
      <x:c r="D399" s="71" t="str">
        <x:v>Basic／月</x:v>
      </x:c>
      <x:c r="E399" s="73" t="n">
        <x:v>29.99</x:v>
      </x:c>
      <x:c r="F399" s="71" t="str">
        <x:v>$29.99</x:v>
      </x:c>
      <x:c r="G399" s="71" t="str">
        <x:v>en-NZ</x:v>
      </x:c>
    </x:row>
    <x:row r="400" ht="27" customHeight="1">
      <x:c r="A400" s="71" t="str">
        <x:v>新西兰</x:v>
      </x:c>
      <x:c r="B400" s="71" t="str">
        <x:v>第2组</x:v>
      </x:c>
      <x:c r="C400" s="71" t="str">
        <x:v>NZD</x:v>
      </x:c>
      <x:c r="D400" s="71" t="str">
        <x:v>Plus／月</x:v>
      </x:c>
      <x:c r="E400" s="73" t="n">
        <x:v>59.99</x:v>
      </x:c>
      <x:c r="F400" s="71" t="str">
        <x:v>$59.99</x:v>
      </x:c>
      <x:c r="G400" s="71" t="str">
        <x:v>en-NZ</x:v>
      </x:c>
    </x:row>
    <x:row r="401" ht="27" customHeight="1">
      <x:c r="A401" s="71" t="str">
        <x:v>新西兰</x:v>
      </x:c>
      <x:c r="B401" s="71" t="str">
        <x:v>第2组</x:v>
      </x:c>
      <x:c r="C401" s="71" t="str">
        <x:v>NZD</x:v>
      </x:c>
      <x:c r="D401" s="71" t="str">
        <x:v>新Pro／月</x:v>
      </x:c>
      <x:c r="E401" s="73" t="n">
        <x:v>44.99</x:v>
      </x:c>
      <x:c r="F401" s="71" t="str">
        <x:v>$44.99</x:v>
      </x:c>
      <x:c r="G401" s="71" t="str">
        <x:v>en-NZ</x:v>
      </x:c>
    </x:row>
    <x:row r="402" ht="27" customHeight="1">
      <x:c r="A402" s="71" t="str">
        <x:v>新西兰</x:v>
      </x:c>
      <x:c r="B402" s="71" t="str">
        <x:v>第2组</x:v>
      </x:c>
      <x:c r="C402" s="71" t="str">
        <x:v>NZD</x:v>
      </x:c>
      <x:c r="D402" s="71" t="str">
        <x:v>Basic／年</x:v>
      </x:c>
      <x:c r="E402" s="73" t="n">
        <x:v>143.99</x:v>
      </x:c>
      <x:c r="F402" s="71" t="str">
        <x:v>$143.99</x:v>
      </x:c>
      <x:c r="G402" s="71" t="str">
        <x:v>en-NZ</x:v>
      </x:c>
    </x:row>
    <x:row r="403" ht="27" customHeight="1">
      <x:c r="A403" s="71" t="str">
        <x:v>新西兰</x:v>
      </x:c>
      <x:c r="B403" s="71" t="str">
        <x:v>第2组</x:v>
      </x:c>
      <x:c r="C403" s="71" t="str">
        <x:v>NZD</x:v>
      </x:c>
      <x:c r="D403" s="71" t="str">
        <x:v>Plus／年</x:v>
      </x:c>
      <x:c r="E403" s="73" t="n">
        <x:v>287.99</x:v>
      </x:c>
      <x:c r="F403" s="71" t="str">
        <x:v>$287.99</x:v>
      </x:c>
      <x:c r="G403" s="71" t="str">
        <x:v>en-NZ</x:v>
      </x:c>
    </x:row>
    <x:row r="404" ht="27" customHeight="1">
      <x:c r="A404" s="71" t="str">
        <x:v>新西兰</x:v>
      </x:c>
      <x:c r="B404" s="71" t="str">
        <x:v>第2组</x:v>
      </x:c>
      <x:c r="C404" s="71" t="str">
        <x:v>NZD</x:v>
      </x:c>
      <x:c r="D404" s="71" t="str">
        <x:v>新Pro／年</x:v>
      </x:c>
      <x:c r="E404" s="73" t="n">
        <x:v>539.88</x:v>
      </x:c>
      <x:c r="F404" s="71" t="str">
        <x:v>$539.88</x:v>
      </x:c>
      <x:c r="G404" s="71" t="str">
        <x:v>en-NZ</x:v>
      </x:c>
    </x:row>
    <x:row r="405" ht="27" customHeight="1">
      <x:c r="A405" s="71" t="str">
        <x:v>新西兰</x:v>
      </x:c>
      <x:c r="B405" s="71" t="str">
        <x:v>第2组</x:v>
      </x:c>
      <x:c r="C405" s="71" t="str">
        <x:v>NZD</x:v>
      </x:c>
      <x:c r="D405" s="71" t="str">
        <x:v>作业包／3份</x:v>
      </x:c>
      <x:c r="E405" s="73" t="n">
        <x:v>14.99</x:v>
      </x:c>
      <x:c r="F405" s="71" t="str">
        <x:v>$14.99</x:v>
      </x:c>
      <x:c r="G405" s="71" t="str">
        <x:v>en-NZ</x:v>
      </x:c>
    </x:row>
    <x:row r="406" ht="27" customHeight="1">
      <x:c r="A406" s="71" t="str">
        <x:v>新西兰</x:v>
      </x:c>
      <x:c r="B406" s="71" t="str">
        <x:v>第2组</x:v>
      </x:c>
      <x:c r="C406" s="71" t="str">
        <x:v>NZD</x:v>
      </x:c>
      <x:c r="D406" s="71" t="str">
        <x:v>检测包／5份</x:v>
      </x:c>
      <x:c r="E406" s="73" t="n">
        <x:v>7.49</x:v>
      </x:c>
      <x:c r="F406" s="71" t="str">
        <x:v>$7.49</x:v>
      </x:c>
      <x:c r="G406" s="71" t="str">
        <x:v>en-NZ</x:v>
      </x:c>
    </x:row>
    <x:row r="407" ht="27" customHeight="1">
      <x:c r="A407" s="71" t="str">
        <x:v>新西兰</x:v>
      </x:c>
      <x:c r="B407" s="71" t="str">
        <x:v>第2组</x:v>
      </x:c>
      <x:c r="C407" s="71" t="str">
        <x:v>NZD</x:v>
      </x:c>
      <x:c r="D407" s="71" t="str">
        <x:v>Humanizer包／3份</x:v>
      </x:c>
      <x:c r="E407" s="73" t="n">
        <x:v>10.99</x:v>
      </x:c>
      <x:c r="F407" s="71" t="str">
        <x:v>$10.99</x:v>
      </x:c>
      <x:c r="G407" s="71" t="str">
        <x:v>en-NZ</x:v>
      </x:c>
    </x:row>
    <x:row r="408" ht="27" customHeight="1">
      <x:c r="A408" s="71" t="str">
        <x:v>新西兰</x:v>
      </x:c>
      <x:c r="B408" s="71" t="str">
        <x:v>第2组</x:v>
      </x:c>
      <x:c r="C408" s="71" t="str">
        <x:v>NZD</x:v>
      </x:c>
      <x:c r="D408" s="71" t="str">
        <x:v>Study Pass／月</x:v>
      </x:c>
      <x:c r="E408" s="73" t="n">
        <x:v>1.5</x:v>
      </x:c>
      <x:c r="F408" s="71" t="str">
        <x:v>$1.50</x:v>
      </x:c>
      <x:c r="G408" s="71" t="str">
        <x:v>en-NZ</x:v>
      </x:c>
    </x:row>
    <x:row r="409" ht="27" customHeight="1">
      <x:c r="A409" s="71" t="str">
        <x:v>荷兰</x:v>
      </x:c>
      <x:c r="B409" s="71" t="str">
        <x:v>第2组</x:v>
      </x:c>
      <x:c r="C409" s="71" t="str">
        <x:v>EUR</x:v>
      </x:c>
      <x:c r="D409" s="71" t="str">
        <x:v>Trial／7天</x:v>
      </x:c>
      <x:c r="E409" s="73" t="n">
        <x:v>2.29</x:v>
      </x:c>
      <x:c r="F409" s="71" t="str">
        <x:v>€ 2,29</x:v>
      </x:c>
      <x:c r="G409" s="71" t="str">
        <x:v>nl-NL</x:v>
      </x:c>
    </x:row>
    <x:row r="410" ht="27" customHeight="1">
      <x:c r="A410" s="71" t="str">
        <x:v>荷兰</x:v>
      </x:c>
      <x:c r="B410" s="71" t="str">
        <x:v>第2组</x:v>
      </x:c>
      <x:c r="C410" s="71" t="str">
        <x:v>EUR</x:v>
      </x:c>
      <x:c r="D410" s="71" t="str">
        <x:v>Basic／月</x:v>
      </x:c>
      <x:c r="E410" s="73" t="n">
        <x:v>14.99</x:v>
      </x:c>
      <x:c r="F410" s="71" t="str">
        <x:v>€ 14,99</x:v>
      </x:c>
      <x:c r="G410" s="71" t="str">
        <x:v>nl-NL</x:v>
      </x:c>
    </x:row>
    <x:row r="411" ht="27" customHeight="1">
      <x:c r="A411" s="71" t="str">
        <x:v>荷兰</x:v>
      </x:c>
      <x:c r="B411" s="71" t="str">
        <x:v>第2组</x:v>
      </x:c>
      <x:c r="C411" s="71" t="str">
        <x:v>EUR</x:v>
      </x:c>
      <x:c r="D411" s="71" t="str">
        <x:v>Plus／月</x:v>
      </x:c>
      <x:c r="E411" s="73" t="n">
        <x:v>29.99</x:v>
      </x:c>
      <x:c r="F411" s="71" t="str">
        <x:v>€ 29,99</x:v>
      </x:c>
      <x:c r="G411" s="71" t="str">
        <x:v>nl-NL</x:v>
      </x:c>
    </x:row>
    <x:row r="412" ht="27" customHeight="1">
      <x:c r="A412" s="71" t="str">
        <x:v>荷兰</x:v>
      </x:c>
      <x:c r="B412" s="71" t="str">
        <x:v>第2组</x:v>
      </x:c>
      <x:c r="C412" s="71" t="str">
        <x:v>EUR</x:v>
      </x:c>
      <x:c r="D412" s="71" t="str">
        <x:v>新Pro／月</x:v>
      </x:c>
      <x:c r="E412" s="73" t="n">
        <x:v>22.99</x:v>
      </x:c>
      <x:c r="F412" s="71" t="str">
        <x:v>€ 22,99</x:v>
      </x:c>
      <x:c r="G412" s="71" t="str">
        <x:v>nl-NL</x:v>
      </x:c>
    </x:row>
    <x:row r="413" ht="27" customHeight="1">
      <x:c r="A413" s="71" t="str">
        <x:v>荷兰</x:v>
      </x:c>
      <x:c r="B413" s="71" t="str">
        <x:v>第2组</x:v>
      </x:c>
      <x:c r="C413" s="71" t="str">
        <x:v>EUR</x:v>
      </x:c>
      <x:c r="D413" s="71" t="str">
        <x:v>Basic／年</x:v>
      </x:c>
      <x:c r="E413" s="73" t="n">
        <x:v>71.99</x:v>
      </x:c>
      <x:c r="F413" s="71" t="str">
        <x:v>€ 71,99</x:v>
      </x:c>
      <x:c r="G413" s="71" t="str">
        <x:v>nl-NL</x:v>
      </x:c>
    </x:row>
    <x:row r="414" ht="27" customHeight="1">
      <x:c r="A414" s="71" t="str">
        <x:v>荷兰</x:v>
      </x:c>
      <x:c r="B414" s="71" t="str">
        <x:v>第2组</x:v>
      </x:c>
      <x:c r="C414" s="71" t="str">
        <x:v>EUR</x:v>
      </x:c>
      <x:c r="D414" s="71" t="str">
        <x:v>Plus／年</x:v>
      </x:c>
      <x:c r="E414" s="73" t="n">
        <x:v>144.99</x:v>
      </x:c>
      <x:c r="F414" s="71" t="str">
        <x:v>€ 144,99</x:v>
      </x:c>
      <x:c r="G414" s="71" t="str">
        <x:v>nl-NL</x:v>
      </x:c>
    </x:row>
    <x:row r="415" ht="27" customHeight="1">
      <x:c r="A415" s="71" t="str">
        <x:v>荷兰</x:v>
      </x:c>
      <x:c r="B415" s="71" t="str">
        <x:v>第2组</x:v>
      </x:c>
      <x:c r="C415" s="71" t="str">
        <x:v>EUR</x:v>
      </x:c>
      <x:c r="D415" s="71" t="str">
        <x:v>新Pro／年</x:v>
      </x:c>
      <x:c r="E415" s="73" t="n">
        <x:v>275.88</x:v>
      </x:c>
      <x:c r="F415" s="71" t="str">
        <x:v>€ 275,88</x:v>
      </x:c>
      <x:c r="G415" s="71" t="str">
        <x:v>nl-NL</x:v>
      </x:c>
    </x:row>
    <x:row r="416" ht="27" customHeight="1">
      <x:c r="A416" s="71" t="str">
        <x:v>荷兰</x:v>
      </x:c>
      <x:c r="B416" s="71" t="str">
        <x:v>第2组</x:v>
      </x:c>
      <x:c r="C416" s="71" t="str">
        <x:v>EUR</x:v>
      </x:c>
      <x:c r="D416" s="71" t="str">
        <x:v>作业包／3份</x:v>
      </x:c>
      <x:c r="E416" s="73" t="n">
        <x:v>7.49</x:v>
      </x:c>
      <x:c r="F416" s="71" t="str">
        <x:v>€ 7,49</x:v>
      </x:c>
      <x:c r="G416" s="71" t="str">
        <x:v>nl-NL</x:v>
      </x:c>
    </x:row>
    <x:row r="417" ht="27" customHeight="1">
      <x:c r="A417" s="71" t="str">
        <x:v>荷兰</x:v>
      </x:c>
      <x:c r="B417" s="71" t="str">
        <x:v>第2组</x:v>
      </x:c>
      <x:c r="C417" s="71" t="str">
        <x:v>EUR</x:v>
      </x:c>
      <x:c r="D417" s="71" t="str">
        <x:v>检测包／5份</x:v>
      </x:c>
      <x:c r="E417" s="73" t="n">
        <x:v>3.99</x:v>
      </x:c>
      <x:c r="F417" s="71" t="str">
        <x:v>€ 3,99</x:v>
      </x:c>
      <x:c r="G417" s="71" t="str">
        <x:v>nl-NL</x:v>
      </x:c>
    </x:row>
    <x:row r="418" ht="27" customHeight="1">
      <x:c r="A418" s="71" t="str">
        <x:v>荷兰</x:v>
      </x:c>
      <x:c r="B418" s="71" t="str">
        <x:v>第2组</x:v>
      </x:c>
      <x:c r="C418" s="71" t="str">
        <x:v>EUR</x:v>
      </x:c>
      <x:c r="D418" s="71" t="str">
        <x:v>Humanizer包／3份</x:v>
      </x:c>
      <x:c r="E418" s="73" t="n">
        <x:v>5.49</x:v>
      </x:c>
      <x:c r="F418" s="71" t="str">
        <x:v>€ 5,49</x:v>
      </x:c>
      <x:c r="G418" s="71" t="str">
        <x:v>nl-NL</x:v>
      </x:c>
    </x:row>
    <x:row r="419" ht="27" customHeight="1">
      <x:c r="A419" s="71" t="str">
        <x:v>荷兰</x:v>
      </x:c>
      <x:c r="B419" s="71" t="str">
        <x:v>第2组</x:v>
      </x:c>
      <x:c r="C419" s="71" t="str">
        <x:v>EUR</x:v>
      </x:c>
      <x:c r="D419" s="71" t="str">
        <x:v>Study Pass／月</x:v>
      </x:c>
      <x:c r="E419" s="73" t="n">
        <x:v>0.74</x:v>
      </x:c>
      <x:c r="F419" s="71" t="str">
        <x:v>€ 0,74</x:v>
      </x:c>
      <x:c r="G419" s="71" t="str">
        <x:v>nl-NL</x:v>
      </x:c>
    </x:row>
    <x:row r="420" ht="27" customHeight="1">
      <x:c r="A420" s="71" t="str">
        <x:v>突尼斯</x:v>
      </x:c>
      <x:c r="B420" s="71" t="str">
        <x:v>第2组</x:v>
      </x:c>
      <x:c r="C420" s="71" t="str">
        <x:v>USD</x:v>
      </x:c>
      <x:c r="D420" s="71" t="str">
        <x:v>Trial／7天</x:v>
      </x:c>
      <x:c r="E420" s="73" t="n">
        <x:v>0.79</x:v>
      </x:c>
      <x:c r="F420" s="71" t="str">
        <x:v>‏0,79 US$</x:v>
      </x:c>
      <x:c r="G420" s="71" t="str">
        <x:v>ar-TN</x:v>
      </x:c>
    </x:row>
    <x:row r="421" ht="27" customHeight="1">
      <x:c r="A421" s="71" t="str">
        <x:v>突尼斯</x:v>
      </x:c>
      <x:c r="B421" s="71" t="str">
        <x:v>第2组</x:v>
      </x:c>
      <x:c r="C421" s="71" t="str">
        <x:v>USD</x:v>
      </x:c>
      <x:c r="D421" s="71" t="str">
        <x:v>Basic／月</x:v>
      </x:c>
      <x:c r="E421" s="73" t="n">
        <x:v>4.99</x:v>
      </x:c>
      <x:c r="F421" s="71" t="str">
        <x:v>‏4,99 US$</x:v>
      </x:c>
      <x:c r="G421" s="71" t="str">
        <x:v>ar-TN</x:v>
      </x:c>
    </x:row>
    <x:row r="422" ht="27" customHeight="1">
      <x:c r="A422" s="71" t="str">
        <x:v>突尼斯</x:v>
      </x:c>
      <x:c r="B422" s="71" t="str">
        <x:v>第2组</x:v>
      </x:c>
      <x:c r="C422" s="71" t="str">
        <x:v>USD</x:v>
      </x:c>
      <x:c r="D422" s="71" t="str">
        <x:v>Plus／月</x:v>
      </x:c>
      <x:c r="E422" s="73" t="n">
        <x:v>9.99</x:v>
      </x:c>
      <x:c r="F422" s="71" t="str">
        <x:v>‏9,99 US$</x:v>
      </x:c>
      <x:c r="G422" s="71" t="str">
        <x:v>ar-TN</x:v>
      </x:c>
    </x:row>
    <x:row r="423" ht="27" customHeight="1">
      <x:c r="A423" s="71" t="str">
        <x:v>突尼斯</x:v>
      </x:c>
      <x:c r="B423" s="71" t="str">
        <x:v>第2组</x:v>
      </x:c>
      <x:c r="C423" s="71" t="str">
        <x:v>USD</x:v>
      </x:c>
      <x:c r="D423" s="71" t="str">
        <x:v>新Pro／月</x:v>
      </x:c>
      <x:c r="E423" s="73" t="n">
        <x:v>7.49</x:v>
      </x:c>
      <x:c r="F423" s="71" t="str">
        <x:v>‏7,49 US$</x:v>
      </x:c>
      <x:c r="G423" s="71" t="str">
        <x:v>ar-TN</x:v>
      </x:c>
    </x:row>
    <x:row r="424" ht="27" customHeight="1">
      <x:c r="A424" s="71" t="str">
        <x:v>突尼斯</x:v>
      </x:c>
      <x:c r="B424" s="71" t="str">
        <x:v>第2组</x:v>
      </x:c>
      <x:c r="C424" s="71" t="str">
        <x:v>USD</x:v>
      </x:c>
      <x:c r="D424" s="71" t="str">
        <x:v>Basic／年</x:v>
      </x:c>
      <x:c r="E424" s="73" t="n">
        <x:v>23.99</x:v>
      </x:c>
      <x:c r="F424" s="71" t="str">
        <x:v>‏23,99 US$</x:v>
      </x:c>
      <x:c r="G424" s="71" t="str">
        <x:v>ar-TN</x:v>
      </x:c>
    </x:row>
    <x:row r="425" ht="27" customHeight="1">
      <x:c r="A425" s="71" t="str">
        <x:v>突尼斯</x:v>
      </x:c>
      <x:c r="B425" s="71" t="str">
        <x:v>第2组</x:v>
      </x:c>
      <x:c r="C425" s="71" t="str">
        <x:v>USD</x:v>
      </x:c>
      <x:c r="D425" s="71" t="str">
        <x:v>Plus／年</x:v>
      </x:c>
      <x:c r="E425" s="73" t="n">
        <x:v>47.99</x:v>
      </x:c>
      <x:c r="F425" s="71" t="str">
        <x:v>‏47,99 US$</x:v>
      </x:c>
      <x:c r="G425" s="71" t="str">
        <x:v>ar-TN</x:v>
      </x:c>
    </x:row>
    <x:row r="426" ht="27" customHeight="1">
      <x:c r="A426" s="71" t="str">
        <x:v>突尼斯</x:v>
      </x:c>
      <x:c r="B426" s="71" t="str">
        <x:v>第2组</x:v>
      </x:c>
      <x:c r="C426" s="71" t="str">
        <x:v>USD</x:v>
      </x:c>
      <x:c r="D426" s="71" t="str">
        <x:v>新Pro／年</x:v>
      </x:c>
      <x:c r="E426" s="73" t="n">
        <x:v>89.88</x:v>
      </x:c>
      <x:c r="F426" s="71" t="str">
        <x:v>‏89,88 US$</x:v>
      </x:c>
      <x:c r="G426" s="71" t="str">
        <x:v>ar-TN</x:v>
      </x:c>
    </x:row>
    <x:row r="427" ht="27" customHeight="1">
      <x:c r="A427" s="71" t="str">
        <x:v>突尼斯</x:v>
      </x:c>
      <x:c r="B427" s="71" t="str">
        <x:v>第2组</x:v>
      </x:c>
      <x:c r="C427" s="71" t="str">
        <x:v>USD</x:v>
      </x:c>
      <x:c r="D427" s="71" t="str">
        <x:v>作业包／3份</x:v>
      </x:c>
      <x:c r="E427" s="73" t="n">
        <x:v>2.49</x:v>
      </x:c>
      <x:c r="F427" s="71" t="str">
        <x:v>‏2,49 US$</x:v>
      </x:c>
      <x:c r="G427" s="71" t="str">
        <x:v>ar-TN</x:v>
      </x:c>
    </x:row>
    <x:row r="428" ht="27" customHeight="1">
      <x:c r="A428" s="71" t="str">
        <x:v>突尼斯</x:v>
      </x:c>
      <x:c r="B428" s="71" t="str">
        <x:v>第2组</x:v>
      </x:c>
      <x:c r="C428" s="71" t="str">
        <x:v>USD</x:v>
      </x:c>
      <x:c r="D428" s="71" t="str">
        <x:v>检测包／5份</x:v>
      </x:c>
      <x:c r="E428" s="73" t="n">
        <x:v>1.29</x:v>
      </x:c>
      <x:c r="F428" s="71" t="str">
        <x:v>‏1,29 US$</x:v>
      </x:c>
      <x:c r="G428" s="71" t="str">
        <x:v>ar-TN</x:v>
      </x:c>
    </x:row>
    <x:row r="429" ht="27" customHeight="1">
      <x:c r="A429" s="71" t="str">
        <x:v>突尼斯</x:v>
      </x:c>
      <x:c r="B429" s="71" t="str">
        <x:v>第2组</x:v>
      </x:c>
      <x:c r="C429" s="71" t="str">
        <x:v>USD</x:v>
      </x:c>
      <x:c r="D429" s="71" t="str">
        <x:v>Humanizer包／3份</x:v>
      </x:c>
      <x:c r="E429" s="73" t="n">
        <x:v>1.79</x:v>
      </x:c>
      <x:c r="F429" s="71" t="str">
        <x:v>‏1,79 US$</x:v>
      </x:c>
      <x:c r="G429" s="71" t="str">
        <x:v>ar-TN</x:v>
      </x:c>
    </x:row>
    <x:row r="430" ht="27" customHeight="1">
      <x:c r="A430" s="71" t="str">
        <x:v>突尼斯</x:v>
      </x:c>
      <x:c r="B430" s="71" t="str">
        <x:v>第2组</x:v>
      </x:c>
      <x:c r="C430" s="71" t="str">
        <x:v>USD</x:v>
      </x:c>
      <x:c r="D430" s="71" t="str">
        <x:v>Study Pass／月</x:v>
      </x:c>
      <x:c r="E430" s="73" t="n">
        <x:v>0.6</x:v>
      </x:c>
      <x:c r="F430" s="71" t="str">
        <x:v>‏0,60 US$</x:v>
      </x:c>
      <x:c r="G430" s="71" t="str">
        <x:v>ar-TN</x:v>
      </x:c>
    </x:row>
    <x:row r="431" ht="27" customHeight="1">
      <x:c r="A431" s="71" t="str">
        <x:v>博茨瓦纳</x:v>
      </x:c>
      <x:c r="B431" s="71" t="str">
        <x:v>第2组</x:v>
      </x:c>
      <x:c r="C431" s="71" t="str">
        <x:v>BWP</x:v>
      </x:c>
      <x:c r="D431" s="71" t="str">
        <x:v>Trial／7天</x:v>
      </x:c>
      <x:c r="E431" s="73" t="n">
        <x:v>14.99</x:v>
      </x:c>
      <x:c r="F431" s="71" t="str">
        <x:v>P 14.99</x:v>
      </x:c>
      <x:c r="G431" s="71" t="str">
        <x:v>en-BW</x:v>
      </x:c>
    </x:row>
    <x:row r="432" ht="27" customHeight="1">
      <x:c r="A432" s="71" t="str">
        <x:v>博茨瓦纳</x:v>
      </x:c>
      <x:c r="B432" s="71" t="str">
        <x:v>第2组</x:v>
      </x:c>
      <x:c r="C432" s="71" t="str">
        <x:v>BWP</x:v>
      </x:c>
      <x:c r="D432" s="71" t="str">
        <x:v>Basic／月</x:v>
      </x:c>
      <x:c r="E432" s="73" t="n">
        <x:v>97.99</x:v>
      </x:c>
      <x:c r="F432" s="71" t="str">
        <x:v>P 97.99</x:v>
      </x:c>
      <x:c r="G432" s="71" t="str">
        <x:v>en-BW</x:v>
      </x:c>
    </x:row>
    <x:row r="433" ht="27" customHeight="1">
      <x:c r="A433" s="71" t="str">
        <x:v>博茨瓦纳</x:v>
      </x:c>
      <x:c r="B433" s="71" t="str">
        <x:v>第2组</x:v>
      </x:c>
      <x:c r="C433" s="71" t="str">
        <x:v>BWP</x:v>
      </x:c>
      <x:c r="D433" s="71" t="str">
        <x:v>Plus／月</x:v>
      </x:c>
      <x:c r="E433" s="73" t="n">
        <x:v>195.99</x:v>
      </x:c>
      <x:c r="F433" s="71" t="str">
        <x:v>P 195.99</x:v>
      </x:c>
      <x:c r="G433" s="71" t="str">
        <x:v>en-BW</x:v>
      </x:c>
    </x:row>
    <x:row r="434" ht="27" customHeight="1">
      <x:c r="A434" s="71" t="str">
        <x:v>博茨瓦纳</x:v>
      </x:c>
      <x:c r="B434" s="71" t="str">
        <x:v>第2组</x:v>
      </x:c>
      <x:c r="C434" s="71" t="str">
        <x:v>BWP</x:v>
      </x:c>
      <x:c r="D434" s="71" t="str">
        <x:v>新Pro／月</x:v>
      </x:c>
      <x:c r="E434" s="73" t="n">
        <x:v>146.99</x:v>
      </x:c>
      <x:c r="F434" s="71" t="str">
        <x:v>P 146.99</x:v>
      </x:c>
      <x:c r="G434" s="71" t="str">
        <x:v>en-BW</x:v>
      </x:c>
    </x:row>
    <x:row r="435" ht="27" customHeight="1">
      <x:c r="A435" s="71" t="str">
        <x:v>博茨瓦纳</x:v>
      </x:c>
      <x:c r="B435" s="71" t="str">
        <x:v>第2组</x:v>
      </x:c>
      <x:c r="C435" s="71" t="str">
        <x:v>BWP</x:v>
      </x:c>
      <x:c r="D435" s="71" t="str">
        <x:v>Basic／年</x:v>
      </x:c>
      <x:c r="E435" s="73" t="n">
        <x:v>470.99</x:v>
      </x:c>
      <x:c r="F435" s="71" t="str">
        <x:v>P 470.99</x:v>
      </x:c>
      <x:c r="G435" s="71" t="str">
        <x:v>en-BW</x:v>
      </x:c>
    </x:row>
    <x:row r="436" ht="27" customHeight="1">
      <x:c r="A436" s="71" t="str">
        <x:v>博茨瓦纳</x:v>
      </x:c>
      <x:c r="B436" s="71" t="str">
        <x:v>第2组</x:v>
      </x:c>
      <x:c r="C436" s="71" t="str">
        <x:v>BWP</x:v>
      </x:c>
      <x:c r="D436" s="71" t="str">
        <x:v>Plus／年</x:v>
      </x:c>
      <x:c r="E436" s="73" t="n">
        <x:v>942.99</x:v>
      </x:c>
      <x:c r="F436" s="71" t="str">
        <x:v>P 942.99</x:v>
      </x:c>
      <x:c r="G436" s="71" t="str">
        <x:v>en-BW</x:v>
      </x:c>
    </x:row>
    <x:row r="437" ht="27" customHeight="1">
      <x:c r="A437" s="71" t="str">
        <x:v>博茨瓦纳</x:v>
      </x:c>
      <x:c r="B437" s="71" t="str">
        <x:v>第2组</x:v>
      </x:c>
      <x:c r="C437" s="71" t="str">
        <x:v>BWP</x:v>
      </x:c>
      <x:c r="D437" s="71" t="str">
        <x:v>新Pro／年</x:v>
      </x:c>
      <x:c r="E437" s="73" t="n">
        <x:v>1763.88</x:v>
      </x:c>
      <x:c r="F437" s="71" t="str">
        <x:v>P 1,763.88</x:v>
      </x:c>
      <x:c r="G437" s="71" t="str">
        <x:v>en-BW</x:v>
      </x:c>
    </x:row>
    <x:row r="438" ht="27" customHeight="1">
      <x:c r="A438" s="71" t="str">
        <x:v>博茨瓦纳</x:v>
      </x:c>
      <x:c r="B438" s="71" t="str">
        <x:v>第2组</x:v>
      </x:c>
      <x:c r="C438" s="71" t="str">
        <x:v>BWP</x:v>
      </x:c>
      <x:c r="D438" s="71" t="str">
        <x:v>作业包／3份</x:v>
      </x:c>
      <x:c r="E438" s="73" t="n">
        <x:v>48.99</x:v>
      </x:c>
      <x:c r="F438" s="71" t="str">
        <x:v>P 48.99</x:v>
      </x:c>
      <x:c r="G438" s="71" t="str">
        <x:v>en-BW</x:v>
      </x:c>
    </x:row>
    <x:row r="439" ht="27" customHeight="1">
      <x:c r="A439" s="71" t="str">
        <x:v>博茨瓦纳</x:v>
      </x:c>
      <x:c r="B439" s="71" t="str">
        <x:v>第2组</x:v>
      </x:c>
      <x:c r="C439" s="71" t="str">
        <x:v>BWP</x:v>
      </x:c>
      <x:c r="D439" s="71" t="str">
        <x:v>检测包／5份</x:v>
      </x:c>
      <x:c r="E439" s="73" t="n">
        <x:v>24.99</x:v>
      </x:c>
      <x:c r="F439" s="71" t="str">
        <x:v>P 24.99</x:v>
      </x:c>
      <x:c r="G439" s="71" t="str">
        <x:v>en-BW</x:v>
      </x:c>
    </x:row>
    <x:row r="440" ht="27" customHeight="1">
      <x:c r="A440" s="71" t="str">
        <x:v>博茨瓦纳</x:v>
      </x:c>
      <x:c r="B440" s="71" t="str">
        <x:v>第2组</x:v>
      </x:c>
      <x:c r="C440" s="71" t="str">
        <x:v>BWP</x:v>
      </x:c>
      <x:c r="D440" s="71" t="str">
        <x:v>Humanizer包／3份</x:v>
      </x:c>
      <x:c r="E440" s="73" t="n">
        <x:v>33.99</x:v>
      </x:c>
      <x:c r="F440" s="71" t="str">
        <x:v>P 33.99</x:v>
      </x:c>
      <x:c r="G440" s="71" t="str">
        <x:v>en-BW</x:v>
      </x:c>
    </x:row>
    <x:row r="441" ht="27" customHeight="1">
      <x:c r="A441" s="71" t="str">
        <x:v>博茨瓦纳</x:v>
      </x:c>
      <x:c r="B441" s="71" t="str">
        <x:v>第2组</x:v>
      </x:c>
      <x:c r="C441" s="71" t="str">
        <x:v>BWP</x:v>
      </x:c>
      <x:c r="D441" s="71" t="str">
        <x:v>Study Pass／月</x:v>
      </x:c>
      <x:c r="E441" s="73" t="n">
        <x:v>8.5</x:v>
      </x:c>
      <x:c r="F441" s="71" t="str">
        <x:v>P 8.50</x:v>
      </x:c>
      <x:c r="G441" s="71" t="str">
        <x:v>en-BW</x:v>
      </x:c>
    </x:row>
    <x:row r="442" ht="27" customHeight="1">
      <x:c r="A442" s="71" t="str">
        <x:v>加纳</x:v>
      </x:c>
      <x:c r="B442" s="71" t="str">
        <x:v>第2组</x:v>
      </x:c>
      <x:c r="C442" s="71" t="str">
        <x:v>USD</x:v>
      </x:c>
      <x:c r="D442" s="71" t="str">
        <x:v>Trial／7天</x:v>
      </x:c>
      <x:c r="E442" s="73" t="n">
        <x:v>0.79</x:v>
      </x:c>
      <x:c r="F442" s="71" t="str">
        <x:v>US$0.79</x:v>
      </x:c>
      <x:c r="G442" s="71" t="str">
        <x:v>en-GH</x:v>
      </x:c>
    </x:row>
    <x:row r="443" ht="27" customHeight="1">
      <x:c r="A443" s="71" t="str">
        <x:v>加纳</x:v>
      </x:c>
      <x:c r="B443" s="71" t="str">
        <x:v>第2组</x:v>
      </x:c>
      <x:c r="C443" s="71" t="str">
        <x:v>USD</x:v>
      </x:c>
      <x:c r="D443" s="71" t="str">
        <x:v>Basic／月</x:v>
      </x:c>
      <x:c r="E443" s="73" t="n">
        <x:v>4.99</x:v>
      </x:c>
      <x:c r="F443" s="71" t="str">
        <x:v>US$4.99</x:v>
      </x:c>
      <x:c r="G443" s="71" t="str">
        <x:v>en-GH</x:v>
      </x:c>
    </x:row>
    <x:row r="444" ht="27" customHeight="1">
      <x:c r="A444" s="71" t="str">
        <x:v>加纳</x:v>
      </x:c>
      <x:c r="B444" s="71" t="str">
        <x:v>第2组</x:v>
      </x:c>
      <x:c r="C444" s="71" t="str">
        <x:v>USD</x:v>
      </x:c>
      <x:c r="D444" s="71" t="str">
        <x:v>Plus／月</x:v>
      </x:c>
      <x:c r="E444" s="73" t="n">
        <x:v>9.99</x:v>
      </x:c>
      <x:c r="F444" s="71" t="str">
        <x:v>US$9.99</x:v>
      </x:c>
      <x:c r="G444" s="71" t="str">
        <x:v>en-GH</x:v>
      </x:c>
    </x:row>
    <x:row r="445" ht="27" customHeight="1">
      <x:c r="A445" s="71" t="str">
        <x:v>加纳</x:v>
      </x:c>
      <x:c r="B445" s="71" t="str">
        <x:v>第2组</x:v>
      </x:c>
      <x:c r="C445" s="71" t="str">
        <x:v>USD</x:v>
      </x:c>
      <x:c r="D445" s="71" t="str">
        <x:v>新Pro／月</x:v>
      </x:c>
      <x:c r="E445" s="73" t="n">
        <x:v>7.49</x:v>
      </x:c>
      <x:c r="F445" s="71" t="str">
        <x:v>US$7.49</x:v>
      </x:c>
      <x:c r="G445" s="71" t="str">
        <x:v>en-GH</x:v>
      </x:c>
    </x:row>
    <x:row r="446" ht="27" customHeight="1">
      <x:c r="A446" s="71" t="str">
        <x:v>加纳</x:v>
      </x:c>
      <x:c r="B446" s="71" t="str">
        <x:v>第2组</x:v>
      </x:c>
      <x:c r="C446" s="71" t="str">
        <x:v>USD</x:v>
      </x:c>
      <x:c r="D446" s="71" t="str">
        <x:v>Basic／年</x:v>
      </x:c>
      <x:c r="E446" s="73" t="n">
        <x:v>23.99</x:v>
      </x:c>
      <x:c r="F446" s="71" t="str">
        <x:v>US$23.99</x:v>
      </x:c>
      <x:c r="G446" s="71" t="str">
        <x:v>en-GH</x:v>
      </x:c>
    </x:row>
    <x:row r="447" ht="27" customHeight="1">
      <x:c r="A447" s="71" t="str">
        <x:v>加纳</x:v>
      </x:c>
      <x:c r="B447" s="71" t="str">
        <x:v>第2组</x:v>
      </x:c>
      <x:c r="C447" s="71" t="str">
        <x:v>USD</x:v>
      </x:c>
      <x:c r="D447" s="71" t="str">
        <x:v>Plus／年</x:v>
      </x:c>
      <x:c r="E447" s="73" t="n">
        <x:v>47.99</x:v>
      </x:c>
      <x:c r="F447" s="71" t="str">
        <x:v>US$47.99</x:v>
      </x:c>
      <x:c r="G447" s="71" t="str">
        <x:v>en-GH</x:v>
      </x:c>
    </x:row>
    <x:row r="448" ht="27" customHeight="1">
      <x:c r="A448" s="71" t="str">
        <x:v>加纳</x:v>
      </x:c>
      <x:c r="B448" s="71" t="str">
        <x:v>第2组</x:v>
      </x:c>
      <x:c r="C448" s="71" t="str">
        <x:v>USD</x:v>
      </x:c>
      <x:c r="D448" s="71" t="str">
        <x:v>新Pro／年</x:v>
      </x:c>
      <x:c r="E448" s="73" t="n">
        <x:v>89.88</x:v>
      </x:c>
      <x:c r="F448" s="71" t="str">
        <x:v>US$89.88</x:v>
      </x:c>
      <x:c r="G448" s="71" t="str">
        <x:v>en-GH</x:v>
      </x:c>
    </x:row>
    <x:row r="449" ht="27" customHeight="1">
      <x:c r="A449" s="71" t="str">
        <x:v>加纳</x:v>
      </x:c>
      <x:c r="B449" s="71" t="str">
        <x:v>第2组</x:v>
      </x:c>
      <x:c r="C449" s="71" t="str">
        <x:v>USD</x:v>
      </x:c>
      <x:c r="D449" s="71" t="str">
        <x:v>作业包／3份</x:v>
      </x:c>
      <x:c r="E449" s="73" t="n">
        <x:v>2.49</x:v>
      </x:c>
      <x:c r="F449" s="71" t="str">
        <x:v>US$2.49</x:v>
      </x:c>
      <x:c r="G449" s="71" t="str">
        <x:v>en-GH</x:v>
      </x:c>
    </x:row>
    <x:row r="450" ht="27" customHeight="1">
      <x:c r="A450" s="71" t="str">
        <x:v>加纳</x:v>
      </x:c>
      <x:c r="B450" s="71" t="str">
        <x:v>第2组</x:v>
      </x:c>
      <x:c r="C450" s="71" t="str">
        <x:v>USD</x:v>
      </x:c>
      <x:c r="D450" s="71" t="str">
        <x:v>检测包／5份</x:v>
      </x:c>
      <x:c r="E450" s="73" t="n">
        <x:v>1.29</x:v>
      </x:c>
      <x:c r="F450" s="71" t="str">
        <x:v>US$1.29</x:v>
      </x:c>
      <x:c r="G450" s="71" t="str">
        <x:v>en-GH</x:v>
      </x:c>
    </x:row>
    <x:row r="451" ht="27" customHeight="1">
      <x:c r="A451" s="71" t="str">
        <x:v>加纳</x:v>
      </x:c>
      <x:c r="B451" s="71" t="str">
        <x:v>第2组</x:v>
      </x:c>
      <x:c r="C451" s="71" t="str">
        <x:v>USD</x:v>
      </x:c>
      <x:c r="D451" s="71" t="str">
        <x:v>Humanizer包／3份</x:v>
      </x:c>
      <x:c r="E451" s="73" t="n">
        <x:v>1.79</x:v>
      </x:c>
      <x:c r="F451" s="71" t="str">
        <x:v>US$1.79</x:v>
      </x:c>
      <x:c r="G451" s="71" t="str">
        <x:v>en-GH</x:v>
      </x:c>
    </x:row>
    <x:row r="452" ht="27" customHeight="1">
      <x:c r="A452" s="71" t="str">
        <x:v>加纳</x:v>
      </x:c>
      <x:c r="B452" s="71" t="str">
        <x:v>第2组</x:v>
      </x:c>
      <x:c r="C452" s="71" t="str">
        <x:v>USD</x:v>
      </x:c>
      <x:c r="D452" s="71" t="str">
        <x:v>Study Pass／月</x:v>
      </x:c>
      <x:c r="E452" s="73" t="n">
        <x:v>0.6</x:v>
      </x:c>
      <x:c r="F452" s="71" t="str">
        <x:v>US$0.60</x:v>
      </x:c>
      <x:c r="G452" s="71" t="str">
        <x:v>en-GH</x:v>
      </x:c>
    </x:row>
    <x:row r="453" ht="27" customHeight="1">
      <x:c r="A453" s="71" t="str">
        <x:v>牙买加</x:v>
      </x:c>
      <x:c r="B453" s="71" t="str">
        <x:v>第2组</x:v>
      </x:c>
      <x:c r="C453" s="71" t="str">
        <x:v>JMD</x:v>
      </x:c>
      <x:c r="D453" s="71" t="str">
        <x:v>Trial／7天</x:v>
      </x:c>
      <x:c r="E453" s="72" t="n">
        <x:v>189</x:v>
      </x:c>
      <x:c r="F453" s="71" t="str">
        <x:v>$189</x:v>
      </x:c>
      <x:c r="G453" s="71" t="str">
        <x:v>en-JM</x:v>
      </x:c>
    </x:row>
    <x:row r="454" ht="27" customHeight="1">
      <x:c r="A454" s="71" t="str">
        <x:v>牙买加</x:v>
      </x:c>
      <x:c r="B454" s="71" t="str">
        <x:v>第2组</x:v>
      </x:c>
      <x:c r="C454" s="71" t="str">
        <x:v>JMD</x:v>
      </x:c>
      <x:c r="D454" s="71" t="str">
        <x:v>Basic／月</x:v>
      </x:c>
      <x:c r="E454" s="72" t="n">
        <x:v>1299</x:v>
      </x:c>
      <x:c r="F454" s="71" t="str">
        <x:v>$1,299</x:v>
      </x:c>
      <x:c r="G454" s="71" t="str">
        <x:v>en-JM</x:v>
      </x:c>
    </x:row>
    <x:row r="455" ht="27" customHeight="1">
      <x:c r="A455" s="71" t="str">
        <x:v>牙买加</x:v>
      </x:c>
      <x:c r="B455" s="71" t="str">
        <x:v>第2组</x:v>
      </x:c>
      <x:c r="C455" s="71" t="str">
        <x:v>JMD</x:v>
      </x:c>
      <x:c r="D455" s="71" t="str">
        <x:v>Plus／月</x:v>
      </x:c>
      <x:c r="E455" s="72" t="n">
        <x:v>2499</x:v>
      </x:c>
      <x:c r="F455" s="71" t="str">
        <x:v>$2,499</x:v>
      </x:c>
      <x:c r="G455" s="71" t="str">
        <x:v>en-JM</x:v>
      </x:c>
    </x:row>
    <x:row r="456" ht="27" customHeight="1">
      <x:c r="A456" s="71" t="str">
        <x:v>牙买加</x:v>
      </x:c>
      <x:c r="B456" s="71" t="str">
        <x:v>第2组</x:v>
      </x:c>
      <x:c r="C456" s="71" t="str">
        <x:v>JMD</x:v>
      </x:c>
      <x:c r="D456" s="71" t="str">
        <x:v>新Pro／月</x:v>
      </x:c>
      <x:c r="E456" s="72" t="n">
        <x:v>1899</x:v>
      </x:c>
      <x:c r="F456" s="71" t="str">
        <x:v>$1,899</x:v>
      </x:c>
      <x:c r="G456" s="71" t="str">
        <x:v>en-JM</x:v>
      </x:c>
    </x:row>
    <x:row r="457" ht="27" customHeight="1">
      <x:c r="A457" s="71" t="str">
        <x:v>牙买加</x:v>
      </x:c>
      <x:c r="B457" s="71" t="str">
        <x:v>第2组</x:v>
      </x:c>
      <x:c r="C457" s="71" t="str">
        <x:v>JMD</x:v>
      </x:c>
      <x:c r="D457" s="71" t="str">
        <x:v>Basic／年</x:v>
      </x:c>
      <x:c r="E457" s="72" t="n">
        <x:v>6099</x:v>
      </x:c>
      <x:c r="F457" s="71" t="str">
        <x:v>$6,099</x:v>
      </x:c>
      <x:c r="G457" s="71" t="str">
        <x:v>en-JM</x:v>
      </x:c>
    </x:row>
    <x:row r="458" ht="27" customHeight="1">
      <x:c r="A458" s="71" t="str">
        <x:v>牙买加</x:v>
      </x:c>
      <x:c r="B458" s="71" t="str">
        <x:v>第2组</x:v>
      </x:c>
      <x:c r="C458" s="71" t="str">
        <x:v>JMD</x:v>
      </x:c>
      <x:c r="D458" s="71" t="str">
        <x:v>Plus／年</x:v>
      </x:c>
      <x:c r="E458" s="72" t="n">
        <x:v>11900</x:v>
      </x:c>
      <x:c r="F458" s="71" t="str">
        <x:v>$11,900</x:v>
      </x:c>
      <x:c r="G458" s="71" t="str">
        <x:v>en-JM</x:v>
      </x:c>
    </x:row>
    <x:row r="459" ht="27" customHeight="1">
      <x:c r="A459" s="71" t="str">
        <x:v>牙买加</x:v>
      </x:c>
      <x:c r="B459" s="71" t="str">
        <x:v>第2组</x:v>
      </x:c>
      <x:c r="C459" s="71" t="str">
        <x:v>JMD</x:v>
      </x:c>
      <x:c r="D459" s="71" t="str">
        <x:v>新Pro／年</x:v>
      </x:c>
      <x:c r="E459" s="72" t="n">
        <x:v>22788</x:v>
      </x:c>
      <x:c r="F459" s="71" t="str">
        <x:v>$22,788</x:v>
      </x:c>
      <x:c r="G459" s="71" t="str">
        <x:v>en-JM</x:v>
      </x:c>
    </x:row>
    <x:row r="460" ht="27" customHeight="1">
      <x:c r="A460" s="71" t="str">
        <x:v>牙买加</x:v>
      </x:c>
      <x:c r="B460" s="71" t="str">
        <x:v>第2组</x:v>
      </x:c>
      <x:c r="C460" s="71" t="str">
        <x:v>JMD</x:v>
      </x:c>
      <x:c r="D460" s="71" t="str">
        <x:v>作业包／3份</x:v>
      </x:c>
      <x:c r="E460" s="72" t="n">
        <x:v>629</x:v>
      </x:c>
      <x:c r="F460" s="71" t="str">
        <x:v>$629</x:v>
      </x:c>
      <x:c r="G460" s="71" t="str">
        <x:v>en-JM</x:v>
      </x:c>
    </x:row>
    <x:row r="461" ht="27" customHeight="1">
      <x:c r="A461" s="71" t="str">
        <x:v>牙买加</x:v>
      </x:c>
      <x:c r="B461" s="71" t="str">
        <x:v>第2组</x:v>
      </x:c>
      <x:c r="C461" s="71" t="str">
        <x:v>JMD</x:v>
      </x:c>
      <x:c r="D461" s="71" t="str">
        <x:v>检测包／5份</x:v>
      </x:c>
      <x:c r="E461" s="72" t="n">
        <x:v>319</x:v>
      </x:c>
      <x:c r="F461" s="71" t="str">
        <x:v>$319</x:v>
      </x:c>
      <x:c r="G461" s="71" t="str">
        <x:v>en-JM</x:v>
      </x:c>
    </x:row>
    <x:row r="462" ht="27" customHeight="1">
      <x:c r="A462" s="71" t="str">
        <x:v>牙买加</x:v>
      </x:c>
      <x:c r="B462" s="71" t="str">
        <x:v>第2组</x:v>
      </x:c>
      <x:c r="C462" s="71" t="str">
        <x:v>JMD</x:v>
      </x:c>
      <x:c r="D462" s="71" t="str">
        <x:v>Humanizer包／3份</x:v>
      </x:c>
      <x:c r="E462" s="72" t="n">
        <x:v>439</x:v>
      </x:c>
      <x:c r="F462" s="71" t="str">
        <x:v>$439</x:v>
      </x:c>
      <x:c r="G462" s="71" t="str">
        <x:v>en-JM</x:v>
      </x:c>
    </x:row>
    <x:row r="463" ht="27" customHeight="1">
      <x:c r="A463" s="71" t="str">
        <x:v>牙买加</x:v>
      </x:c>
      <x:c r="B463" s="71" t="str">
        <x:v>第2组</x:v>
      </x:c>
      <x:c r="C463" s="71" t="str">
        <x:v>JMD</x:v>
      </x:c>
      <x:c r="D463" s="71" t="str">
        <x:v>Study Pass／月</x:v>
      </x:c>
      <x:c r="E463" s="72" t="n">
        <x:v>98</x:v>
      </x:c>
      <x:c r="F463" s="71" t="str">
        <x:v>$98</x:v>
      </x:c>
      <x:c r="G463" s="71" t="str">
        <x:v>en-JM</x:v>
      </x:c>
    </x:row>
    <x:row r="464" ht="27" customHeight="1">
      <x:c r="A464" s="71" t="str">
        <x:v>中国大陆</x:v>
      </x:c>
      <x:c r="B464" s="71" t="str">
        <x:v>第2组</x:v>
      </x:c>
      <x:c r="C464" s="71" t="str">
        <x:v>CNY</x:v>
      </x:c>
      <x:c r="D464" s="71" t="str">
        <x:v>Trial／7天</x:v>
      </x:c>
      <x:c r="E464" s="73" t="n">
        <x:v>8.99</x:v>
      </x:c>
      <x:c r="F464" s="71" t="str">
        <x:v>¥8.99</x:v>
      </x:c>
      <x:c r="G464" s="71" t="str">
        <x:v>zh-CN</x:v>
      </x:c>
    </x:row>
    <x:row r="465" ht="27" customHeight="1">
      <x:c r="A465" s="71" t="str">
        <x:v>中国大陆</x:v>
      </x:c>
      <x:c r="B465" s="71" t="str">
        <x:v>第2组</x:v>
      </x:c>
      <x:c r="C465" s="71" t="str">
        <x:v>CNY</x:v>
      </x:c>
      <x:c r="D465" s="71" t="str">
        <x:v>Basic／月</x:v>
      </x:c>
      <x:c r="E465" s="73" t="n">
        <x:v>59.99</x:v>
      </x:c>
      <x:c r="F465" s="71" t="str">
        <x:v>¥59.99</x:v>
      </x:c>
      <x:c r="G465" s="71" t="str">
        <x:v>zh-CN</x:v>
      </x:c>
    </x:row>
    <x:row r="466" ht="27" customHeight="1">
      <x:c r="A466" s="71" t="str">
        <x:v>中国大陆</x:v>
      </x:c>
      <x:c r="B466" s="71" t="str">
        <x:v>第2组</x:v>
      </x:c>
      <x:c r="C466" s="71" t="str">
        <x:v>CNY</x:v>
      </x:c>
      <x:c r="D466" s="71" t="str">
        <x:v>Plus／月</x:v>
      </x:c>
      <x:c r="E466" s="73" t="n">
        <x:v>120.99</x:v>
      </x:c>
      <x:c r="F466" s="71" t="str">
        <x:v>¥120.99</x:v>
      </x:c>
      <x:c r="G466" s="71" t="str">
        <x:v>zh-CN</x:v>
      </x:c>
    </x:row>
    <x:row r="467" ht="27" customHeight="1">
      <x:c r="A467" s="71" t="str">
        <x:v>中国大陆</x:v>
      </x:c>
      <x:c r="B467" s="71" t="str">
        <x:v>第2组</x:v>
      </x:c>
      <x:c r="C467" s="71" t="str">
        <x:v>CNY</x:v>
      </x:c>
      <x:c r="D467" s="71" t="str">
        <x:v>新Pro／月</x:v>
      </x:c>
      <x:c r="E467" s="73" t="n">
        <x:v>89.99</x:v>
      </x:c>
      <x:c r="F467" s="71" t="str">
        <x:v>¥89.99</x:v>
      </x:c>
      <x:c r="G467" s="71" t="str">
        <x:v>zh-CN</x:v>
      </x:c>
    </x:row>
    <x:row r="468" ht="27" customHeight="1">
      <x:c r="A468" s="71" t="str">
        <x:v>中国大陆</x:v>
      </x:c>
      <x:c r="B468" s="71" t="str">
        <x:v>第2组</x:v>
      </x:c>
      <x:c r="C468" s="71" t="str">
        <x:v>CNY</x:v>
      </x:c>
      <x:c r="D468" s="71" t="str">
        <x:v>Basic／年</x:v>
      </x:c>
      <x:c r="E468" s="73" t="n">
        <x:v>288.99</x:v>
      </x:c>
      <x:c r="F468" s="71" t="str">
        <x:v>¥288.99</x:v>
      </x:c>
      <x:c r="G468" s="71" t="str">
        <x:v>zh-CN</x:v>
      </x:c>
    </x:row>
    <x:row r="469" ht="27" customHeight="1">
      <x:c r="A469" s="71" t="str">
        <x:v>中国大陆</x:v>
      </x:c>
      <x:c r="B469" s="71" t="str">
        <x:v>第2组</x:v>
      </x:c>
      <x:c r="C469" s="71" t="str">
        <x:v>CNY</x:v>
      </x:c>
      <x:c r="D469" s="71" t="str">
        <x:v>Plus／年</x:v>
      </x:c>
      <x:c r="E469" s="73" t="n">
        <x:v>577.99</x:v>
      </x:c>
      <x:c r="F469" s="71" t="str">
        <x:v>¥577.99</x:v>
      </x:c>
      <x:c r="G469" s="71" t="str">
        <x:v>zh-CN</x:v>
      </x:c>
    </x:row>
    <x:row r="470" ht="27" customHeight="1">
      <x:c r="A470" s="71" t="str">
        <x:v>中国大陆</x:v>
      </x:c>
      <x:c r="B470" s="71" t="str">
        <x:v>第2组</x:v>
      </x:c>
      <x:c r="C470" s="71" t="str">
        <x:v>CNY</x:v>
      </x:c>
      <x:c r="D470" s="71" t="str">
        <x:v>新Pro／年</x:v>
      </x:c>
      <x:c r="E470" s="73" t="n">
        <x:v>1079.88</x:v>
      </x:c>
      <x:c r="F470" s="71" t="str">
        <x:v>¥1,079.88</x:v>
      </x:c>
      <x:c r="G470" s="71" t="str">
        <x:v>zh-CN</x:v>
      </x:c>
    </x:row>
    <x:row r="471" ht="27" customHeight="1">
      <x:c r="A471" s="71" t="str">
        <x:v>中国大陆</x:v>
      </x:c>
      <x:c r="B471" s="71" t="str">
        <x:v>第2组</x:v>
      </x:c>
      <x:c r="C471" s="71" t="str">
        <x:v>CNY</x:v>
      </x:c>
      <x:c r="D471" s="71" t="str">
        <x:v>作业包／3份</x:v>
      </x:c>
      <x:c r="E471" s="73" t="n">
        <x:v>29.99</x:v>
      </x:c>
      <x:c r="F471" s="71" t="str">
        <x:v>¥29.99</x:v>
      </x:c>
      <x:c r="G471" s="71" t="str">
        <x:v>zh-CN</x:v>
      </x:c>
    </x:row>
    <x:row r="472" ht="27" customHeight="1">
      <x:c r="A472" s="71" t="str">
        <x:v>中国大陆</x:v>
      </x:c>
      <x:c r="B472" s="71" t="str">
        <x:v>第2组</x:v>
      </x:c>
      <x:c r="C472" s="71" t="str">
        <x:v>CNY</x:v>
      </x:c>
      <x:c r="D472" s="71" t="str">
        <x:v>检测包／5份</x:v>
      </x:c>
      <x:c r="E472" s="73" t="n">
        <x:v>14.99</x:v>
      </x:c>
      <x:c r="F472" s="71" t="str">
        <x:v>¥14.99</x:v>
      </x:c>
      <x:c r="G472" s="71" t="str">
        <x:v>zh-CN</x:v>
      </x:c>
    </x:row>
    <x:row r="473" ht="27" customHeight="1">
      <x:c r="A473" s="71" t="str">
        <x:v>中国大陆</x:v>
      </x:c>
      <x:c r="B473" s="71" t="str">
        <x:v>第2组</x:v>
      </x:c>
      <x:c r="C473" s="71" t="str">
        <x:v>CNY</x:v>
      </x:c>
      <x:c r="D473" s="71" t="str">
        <x:v>Humanizer包／3份</x:v>
      </x:c>
      <x:c r="E473" s="73" t="n">
        <x:v>20.99</x:v>
      </x:c>
      <x:c r="F473" s="71" t="str">
        <x:v>¥20.99</x:v>
      </x:c>
      <x:c r="G473" s="71" t="str">
        <x:v>zh-CN</x:v>
      </x:c>
    </x:row>
    <x:row r="474" ht="27" customHeight="1">
      <x:c r="A474" s="71" t="str">
        <x:v>中国大陆</x:v>
      </x:c>
      <x:c r="B474" s="71" t="str">
        <x:v>第2组</x:v>
      </x:c>
      <x:c r="C474" s="71" t="str">
        <x:v>CNY</x:v>
      </x:c>
      <x:c r="D474" s="71" t="str">
        <x:v>Study Pass／月</x:v>
      </x:c>
      <x:c r="E474" s="73" t="n">
        <x:v>4.1</x:v>
      </x:c>
      <x:c r="F474" s="71" t="str">
        <x:v>¥4.10</x:v>
      </x:c>
      <x:c r="G474" s="71" t="str">
        <x:v>zh-CN</x:v>
      </x:c>
    </x:row>
    <x:row r="475" ht="27" customHeight="1">
      <x:c r="A475" s="71" t="str">
        <x:v>马拉维</x:v>
      </x:c>
      <x:c r="B475" s="71" t="str">
        <x:v>第2组</x:v>
      </x:c>
      <x:c r="C475" s="71" t="str">
        <x:v>MWK</x:v>
      </x:c>
      <x:c r="D475" s="71" t="str">
        <x:v>Trial／7天</x:v>
      </x:c>
      <x:c r="E475" s="72" t="n">
        <x:v>999</x:v>
      </x:c>
      <x:c r="F475" s="71" t="str">
        <x:v>MK 999</x:v>
      </x:c>
      <x:c r="G475" s="71" t="str">
        <x:v>en-MW</x:v>
      </x:c>
    </x:row>
    <x:row r="476" ht="27" customHeight="1">
      <x:c r="A476" s="71" t="str">
        <x:v>马拉维</x:v>
      </x:c>
      <x:c r="B476" s="71" t="str">
        <x:v>第2组</x:v>
      </x:c>
      <x:c r="C476" s="71" t="str">
        <x:v>MWK</x:v>
      </x:c>
      <x:c r="D476" s="71" t="str">
        <x:v>Basic／月</x:v>
      </x:c>
      <x:c r="E476" s="72" t="n">
        <x:v>6999</x:v>
      </x:c>
      <x:c r="F476" s="71" t="str">
        <x:v>MK 6,999</x:v>
      </x:c>
      <x:c r="G476" s="71" t="str">
        <x:v>en-MW</x:v>
      </x:c>
    </x:row>
    <x:row r="477" ht="27" customHeight="1">
      <x:c r="A477" s="71" t="str">
        <x:v>马拉维</x:v>
      </x:c>
      <x:c r="B477" s="71" t="str">
        <x:v>第2组</x:v>
      </x:c>
      <x:c r="C477" s="71" t="str">
        <x:v>MWK</x:v>
      </x:c>
      <x:c r="D477" s="71" t="str">
        <x:v>Plus／月</x:v>
      </x:c>
      <x:c r="E477" s="72" t="n">
        <x:v>13900</x:v>
      </x:c>
      <x:c r="F477" s="71" t="str">
        <x:v>MK 13,900</x:v>
      </x:c>
      <x:c r="G477" s="71" t="str">
        <x:v>en-MW</x:v>
      </x:c>
    </x:row>
    <x:row r="478" ht="27" customHeight="1">
      <x:c r="A478" s="71" t="str">
        <x:v>马拉维</x:v>
      </x:c>
      <x:c r="B478" s="71" t="str">
        <x:v>第2组</x:v>
      </x:c>
      <x:c r="C478" s="71" t="str">
        <x:v>MWK</x:v>
      </x:c>
      <x:c r="D478" s="71" t="str">
        <x:v>新Pro／月</x:v>
      </x:c>
      <x:c r="E478" s="72" t="n">
        <x:v>10900</x:v>
      </x:c>
      <x:c r="F478" s="71" t="str">
        <x:v>MK 10,900</x:v>
      </x:c>
      <x:c r="G478" s="71" t="str">
        <x:v>en-MW</x:v>
      </x:c>
    </x:row>
    <x:row r="479" ht="27" customHeight="1">
      <x:c r="A479" s="71" t="str">
        <x:v>马拉维</x:v>
      </x:c>
      <x:c r="B479" s="71" t="str">
        <x:v>第2组</x:v>
      </x:c>
      <x:c r="C479" s="71" t="str">
        <x:v>MWK</x:v>
      </x:c>
      <x:c r="D479" s="71" t="str">
        <x:v>Basic／年</x:v>
      </x:c>
      <x:c r="E479" s="72" t="n">
        <x:v>33900</x:v>
      </x:c>
      <x:c r="F479" s="71" t="str">
        <x:v>MK 33,900</x:v>
      </x:c>
      <x:c r="G479" s="71" t="str">
        <x:v>en-MW</x:v>
      </x:c>
    </x:row>
    <x:row r="480" ht="27" customHeight="1">
      <x:c r="A480" s="71" t="str">
        <x:v>马拉维</x:v>
      </x:c>
      <x:c r="B480" s="71" t="str">
        <x:v>第2组</x:v>
      </x:c>
      <x:c r="C480" s="71" t="str">
        <x:v>MWK</x:v>
      </x:c>
      <x:c r="D480" s="71" t="str">
        <x:v>Plus／年</x:v>
      </x:c>
      <x:c r="E480" s="72" t="n">
        <x:v>66900</x:v>
      </x:c>
      <x:c r="F480" s="71" t="str">
        <x:v>MK 66,900</x:v>
      </x:c>
      <x:c r="G480" s="71" t="str">
        <x:v>en-MW</x:v>
      </x:c>
    </x:row>
    <x:row r="481" ht="27" customHeight="1">
      <x:c r="A481" s="71" t="str">
        <x:v>马拉维</x:v>
      </x:c>
      <x:c r="B481" s="71" t="str">
        <x:v>第2组</x:v>
      </x:c>
      <x:c r="C481" s="71" t="str">
        <x:v>MWK</x:v>
      </x:c>
      <x:c r="D481" s="71" t="str">
        <x:v>新Pro／年</x:v>
      </x:c>
      <x:c r="E481" s="72" t="n">
        <x:v>130800</x:v>
      </x:c>
      <x:c r="F481" s="71" t="str">
        <x:v>MK 130,800</x:v>
      </x:c>
      <x:c r="G481" s="71" t="str">
        <x:v>en-MW</x:v>
      </x:c>
    </x:row>
    <x:row r="482" ht="27" customHeight="1">
      <x:c r="A482" s="71" t="str">
        <x:v>马拉维</x:v>
      </x:c>
      <x:c r="B482" s="71" t="str">
        <x:v>第2组</x:v>
      </x:c>
      <x:c r="C482" s="71" t="str">
        <x:v>MWK</x:v>
      </x:c>
      <x:c r="D482" s="71" t="str">
        <x:v>作业包／3份</x:v>
      </x:c>
      <x:c r="E482" s="72" t="n">
        <x:v>3499</x:v>
      </x:c>
      <x:c r="F482" s="71" t="str">
        <x:v>MK 3,499</x:v>
      </x:c>
      <x:c r="G482" s="71" t="str">
        <x:v>en-MW</x:v>
      </x:c>
    </x:row>
    <x:row r="483" ht="27" customHeight="1">
      <x:c r="A483" s="71" t="str">
        <x:v>马拉维</x:v>
      </x:c>
      <x:c r="B483" s="71" t="str">
        <x:v>第2组</x:v>
      </x:c>
      <x:c r="C483" s="71" t="str">
        <x:v>MWK</x:v>
      </x:c>
      <x:c r="D483" s="71" t="str">
        <x:v>检测包／5份</x:v>
      </x:c>
      <x:c r="E483" s="72" t="n">
        <x:v>1699</x:v>
      </x:c>
      <x:c r="F483" s="71" t="str">
        <x:v>MK 1,699</x:v>
      </x:c>
      <x:c r="G483" s="71" t="str">
        <x:v>en-MW</x:v>
      </x:c>
    </x:row>
    <x:row r="484" ht="27" customHeight="1">
      <x:c r="A484" s="71" t="str">
        <x:v>马拉维</x:v>
      </x:c>
      <x:c r="B484" s="71" t="str">
        <x:v>第2组</x:v>
      </x:c>
      <x:c r="C484" s="71" t="str">
        <x:v>MWK</x:v>
      </x:c>
      <x:c r="D484" s="71" t="str">
        <x:v>Humanizer包／3份</x:v>
      </x:c>
      <x:c r="E484" s="72" t="n">
        <x:v>2399</x:v>
      </x:c>
      <x:c r="F484" s="71" t="str">
        <x:v>MK 2,399</x:v>
      </x:c>
      <x:c r="G484" s="71" t="str">
        <x:v>en-MW</x:v>
      </x:c>
    </x:row>
    <x:row r="485" ht="27" customHeight="1">
      <x:c r="A485" s="71" t="str">
        <x:v>马拉维</x:v>
      </x:c>
      <x:c r="B485" s="71" t="str">
        <x:v>第2组</x:v>
      </x:c>
      <x:c r="C485" s="71" t="str">
        <x:v>MWK</x:v>
      </x:c>
      <x:c r="D485" s="71" t="str">
        <x:v>Study Pass／月</x:v>
      </x:c>
      <x:c r="E485" s="72" t="n">
        <x:v>1100</x:v>
      </x:c>
      <x:c r="F485" s="71" t="str">
        <x:v>MK 1,100</x:v>
      </x:c>
      <x:c r="G485" s="71" t="str">
        <x:v>en-MW</x:v>
      </x:c>
    </x:row>
    <x:row r="486" ht="27" customHeight="1">
      <x:c r="A486" s="71" t="str">
        <x:v>摩洛哥</x:v>
      </x:c>
      <x:c r="B486" s="71" t="str">
        <x:v>第2组</x:v>
      </x:c>
      <x:c r="C486" s="71" t="str">
        <x:v>MAD</x:v>
      </x:c>
      <x:c r="D486" s="71" t="str">
        <x:v>Trial／7天</x:v>
      </x:c>
      <x:c r="E486" s="73" t="n">
        <x:v>8.99</x:v>
      </x:c>
      <x:c r="F486" s="71" t="str">
        <x:v>‏8,99 د.م.‏</x:v>
      </x:c>
      <x:c r="G486" s="71" t="str">
        <x:v>ar-MA</x:v>
      </x:c>
    </x:row>
    <x:row r="487" ht="27" customHeight="1">
      <x:c r="A487" s="71" t="str">
        <x:v>摩洛哥</x:v>
      </x:c>
      <x:c r="B487" s="71" t="str">
        <x:v>第2组</x:v>
      </x:c>
      <x:c r="C487" s="71" t="str">
        <x:v>MAD</x:v>
      </x:c>
      <x:c r="D487" s="71" t="str">
        <x:v>Basic／月</x:v>
      </x:c>
      <x:c r="E487" s="73" t="n">
        <x:v>58.99</x:v>
      </x:c>
      <x:c r="F487" s="71" t="str">
        <x:v>‏58,99 د.م.‏</x:v>
      </x:c>
      <x:c r="G487" s="71" t="str">
        <x:v>ar-MA</x:v>
      </x:c>
    </x:row>
    <x:row r="488" ht="27" customHeight="1">
      <x:c r="A488" s="71" t="str">
        <x:v>摩洛哥</x:v>
      </x:c>
      <x:c r="B488" s="71" t="str">
        <x:v>第2组</x:v>
      </x:c>
      <x:c r="C488" s="71" t="str">
        <x:v>MAD</x:v>
      </x:c>
      <x:c r="D488" s="71" t="str">
        <x:v>Plus／月</x:v>
      </x:c>
      <x:c r="E488" s="73" t="n">
        <x:v>117.99</x:v>
      </x:c>
      <x:c r="F488" s="71" t="str">
        <x:v>‏117,99 د.م.‏</x:v>
      </x:c>
      <x:c r="G488" s="71" t="str">
        <x:v>ar-MA</x:v>
      </x:c>
    </x:row>
    <x:row r="489" ht="27" customHeight="1">
      <x:c r="A489" s="71" t="str">
        <x:v>摩洛哥</x:v>
      </x:c>
      <x:c r="B489" s="71" t="str">
        <x:v>第2组</x:v>
      </x:c>
      <x:c r="C489" s="71" t="str">
        <x:v>MAD</x:v>
      </x:c>
      <x:c r="D489" s="71" t="str">
        <x:v>新Pro／月</x:v>
      </x:c>
      <x:c r="E489" s="73" t="n">
        <x:v>87.99</x:v>
      </x:c>
      <x:c r="F489" s="71" t="str">
        <x:v>‏87,99 د.م.‏</x:v>
      </x:c>
      <x:c r="G489" s="71" t="str">
        <x:v>ar-MA</x:v>
      </x:c>
    </x:row>
    <x:row r="490" ht="27" customHeight="1">
      <x:c r="A490" s="71" t="str">
        <x:v>摩洛哥</x:v>
      </x:c>
      <x:c r="B490" s="71" t="str">
        <x:v>第2组</x:v>
      </x:c>
      <x:c r="C490" s="71" t="str">
        <x:v>MAD</x:v>
      </x:c>
      <x:c r="D490" s="71" t="str">
        <x:v>Basic／年</x:v>
      </x:c>
      <x:c r="E490" s="73" t="n">
        <x:v>281.99</x:v>
      </x:c>
      <x:c r="F490" s="71" t="str">
        <x:v>‏281,99 د.م.‏</x:v>
      </x:c>
      <x:c r="G490" s="71" t="str">
        <x:v>ar-MA</x:v>
      </x:c>
    </x:row>
    <x:row r="491" ht="27" customHeight="1">
      <x:c r="A491" s="71" t="str">
        <x:v>摩洛哥</x:v>
      </x:c>
      <x:c r="B491" s="71" t="str">
        <x:v>第2组</x:v>
      </x:c>
      <x:c r="C491" s="71" t="str">
        <x:v>MAD</x:v>
      </x:c>
      <x:c r="D491" s="71" t="str">
        <x:v>Plus／年</x:v>
      </x:c>
      <x:c r="E491" s="73" t="n">
        <x:v>564.99</x:v>
      </x:c>
      <x:c r="F491" s="71" t="str">
        <x:v>‏564,99 د.م.‏</x:v>
      </x:c>
      <x:c r="G491" s="71" t="str">
        <x:v>ar-MA</x:v>
      </x:c>
    </x:row>
    <x:row r="492" ht="27" customHeight="1">
      <x:c r="A492" s="71" t="str">
        <x:v>摩洛哥</x:v>
      </x:c>
      <x:c r="B492" s="71" t="str">
        <x:v>第2组</x:v>
      </x:c>
      <x:c r="C492" s="71" t="str">
        <x:v>MAD</x:v>
      </x:c>
      <x:c r="D492" s="71" t="str">
        <x:v>新Pro／年</x:v>
      </x:c>
      <x:c r="E492" s="73" t="n">
        <x:v>1055.88</x:v>
      </x:c>
      <x:c r="F492" s="71" t="str">
        <x:v>‏1.055,88 د.م.‏</x:v>
      </x:c>
      <x:c r="G492" s="71" t="str">
        <x:v>ar-MA</x:v>
      </x:c>
    </x:row>
    <x:row r="493" ht="27" customHeight="1">
      <x:c r="A493" s="71" t="str">
        <x:v>摩洛哥</x:v>
      </x:c>
      <x:c r="B493" s="71" t="str">
        <x:v>第2组</x:v>
      </x:c>
      <x:c r="C493" s="71" t="str">
        <x:v>MAD</x:v>
      </x:c>
      <x:c r="D493" s="71" t="str">
        <x:v>作业包／3份</x:v>
      </x:c>
      <x:c r="E493" s="73" t="n">
        <x:v>28.99</x:v>
      </x:c>
      <x:c r="F493" s="71" t="str">
        <x:v>‏28,99 د.م.‏</x:v>
      </x:c>
      <x:c r="G493" s="71" t="str">
        <x:v>ar-MA</x:v>
      </x:c>
    </x:row>
    <x:row r="494" ht="27" customHeight="1">
      <x:c r="A494" s="71" t="str">
        <x:v>摩洛哥</x:v>
      </x:c>
      <x:c r="B494" s="71" t="str">
        <x:v>第2组</x:v>
      </x:c>
      <x:c r="C494" s="71" t="str">
        <x:v>MAD</x:v>
      </x:c>
      <x:c r="D494" s="71" t="str">
        <x:v>检测包／5份</x:v>
      </x:c>
      <x:c r="E494" s="73" t="n">
        <x:v>14.99</x:v>
      </x:c>
      <x:c r="F494" s="71" t="str">
        <x:v>‏14,99 د.م.‏</x:v>
      </x:c>
      <x:c r="G494" s="71" t="str">
        <x:v>ar-MA</x:v>
      </x:c>
    </x:row>
    <x:row r="495" ht="27" customHeight="1">
      <x:c r="A495" s="71" t="str">
        <x:v>摩洛哥</x:v>
      </x:c>
      <x:c r="B495" s="71" t="str">
        <x:v>第2组</x:v>
      </x:c>
      <x:c r="C495" s="71" t="str">
        <x:v>MAD</x:v>
      </x:c>
      <x:c r="D495" s="71" t="str">
        <x:v>Humanizer包／3份</x:v>
      </x:c>
      <x:c r="E495" s="73" t="n">
        <x:v>20.99</x:v>
      </x:c>
      <x:c r="F495" s="71" t="str">
        <x:v>‏20,99 د.م.‏</x:v>
      </x:c>
      <x:c r="G495" s="71" t="str">
        <x:v>ar-MA</x:v>
      </x:c>
    </x:row>
    <x:row r="496" ht="27" customHeight="1">
      <x:c r="A496" s="71" t="str">
        <x:v>摩洛哥</x:v>
      </x:c>
      <x:c r="B496" s="71" t="str">
        <x:v>第2组</x:v>
      </x:c>
      <x:c r="C496" s="71" t="str">
        <x:v>MAD</x:v>
      </x:c>
      <x:c r="D496" s="71" t="str">
        <x:v>Study Pass／月</x:v>
      </x:c>
      <x:c r="E496" s="72" t="n">
        <x:v>6</x:v>
      </x:c>
      <x:c r="F496" s="71" t="str">
        <x:v>‏6 د.م.‏</x:v>
      </x:c>
      <x:c r="G496" s="71" t="str">
        <x:v>ar-MA</x:v>
      </x:c>
    </x:row>
    <x:row r="497" ht="27" customHeight="1">
      <x:c r="A497" s="71" t="str">
        <x:v>纳米比亚</x:v>
      </x:c>
      <x:c r="B497" s="71" t="str">
        <x:v>第2组</x:v>
      </x:c>
      <x:c r="C497" s="71" t="str">
        <x:v>NAD</x:v>
      </x:c>
      <x:c r="D497" s="71" t="str">
        <x:v>Trial／7天</x:v>
      </x:c>
      <x:c r="E497" s="73" t="n">
        <x:v>14.99</x:v>
      </x:c>
      <x:c r="F497" s="71" t="str">
        <x:v>$14.99</x:v>
      </x:c>
      <x:c r="G497" s="71" t="str">
        <x:v>en-NA</x:v>
      </x:c>
    </x:row>
    <x:row r="498" ht="27" customHeight="1">
      <x:c r="A498" s="71" t="str">
        <x:v>纳米比亚</x:v>
      </x:c>
      <x:c r="B498" s="71" t="str">
        <x:v>第2组</x:v>
      </x:c>
      <x:c r="C498" s="71" t="str">
        <x:v>NAD</x:v>
      </x:c>
      <x:c r="D498" s="71" t="str">
        <x:v>Basic／月</x:v>
      </x:c>
      <x:c r="E498" s="73" t="n">
        <x:v>98.99</x:v>
      </x:c>
      <x:c r="F498" s="71" t="str">
        <x:v>$98.99</x:v>
      </x:c>
      <x:c r="G498" s="71" t="str">
        <x:v>en-NA</x:v>
      </x:c>
    </x:row>
    <x:row r="499" ht="27" customHeight="1">
      <x:c r="A499" s="71" t="str">
        <x:v>纳米比亚</x:v>
      </x:c>
      <x:c r="B499" s="71" t="str">
        <x:v>第2组</x:v>
      </x:c>
      <x:c r="C499" s="71" t="str">
        <x:v>NAD</x:v>
      </x:c>
      <x:c r="D499" s="71" t="str">
        <x:v>Plus／月</x:v>
      </x:c>
      <x:c r="E499" s="73" t="n">
        <x:v>197.99</x:v>
      </x:c>
      <x:c r="F499" s="71" t="str">
        <x:v>$197.99</x:v>
      </x:c>
      <x:c r="G499" s="71" t="str">
        <x:v>en-NA</x:v>
      </x:c>
    </x:row>
    <x:row r="500" ht="27" customHeight="1">
      <x:c r="A500" s="71" t="str">
        <x:v>纳米比亚</x:v>
      </x:c>
      <x:c r="B500" s="71" t="str">
        <x:v>第2组</x:v>
      </x:c>
      <x:c r="C500" s="71" t="str">
        <x:v>NAD</x:v>
      </x:c>
      <x:c r="D500" s="71" t="str">
        <x:v>新Pro／月</x:v>
      </x:c>
      <x:c r="E500" s="73" t="n">
        <x:v>147.99</x:v>
      </x:c>
      <x:c r="F500" s="71" t="str">
        <x:v>$147.99</x:v>
      </x:c>
      <x:c r="G500" s="71" t="str">
        <x:v>en-NA</x:v>
      </x:c>
    </x:row>
    <x:row r="501" ht="27" customHeight="1">
      <x:c r="A501" s="71" t="str">
        <x:v>纳米比亚</x:v>
      </x:c>
      <x:c r="B501" s="71" t="str">
        <x:v>第2组</x:v>
      </x:c>
      <x:c r="C501" s="71" t="str">
        <x:v>NAD</x:v>
      </x:c>
      <x:c r="D501" s="71" t="str">
        <x:v>Basic／年</x:v>
      </x:c>
      <x:c r="E501" s="73" t="n">
        <x:v>473.99</x:v>
      </x:c>
      <x:c r="F501" s="71" t="str">
        <x:v>$473.99</x:v>
      </x:c>
      <x:c r="G501" s="71" t="str">
        <x:v>en-NA</x:v>
      </x:c>
    </x:row>
    <x:row r="502" ht="27" customHeight="1">
      <x:c r="A502" s="71" t="str">
        <x:v>纳米比亚</x:v>
      </x:c>
      <x:c r="B502" s="71" t="str">
        <x:v>第2组</x:v>
      </x:c>
      <x:c r="C502" s="71" t="str">
        <x:v>NAD</x:v>
      </x:c>
      <x:c r="D502" s="71" t="str">
        <x:v>Plus／年</x:v>
      </x:c>
      <x:c r="E502" s="73" t="n">
        <x:v>947.99</x:v>
      </x:c>
      <x:c r="F502" s="71" t="str">
        <x:v>$947.99</x:v>
      </x:c>
      <x:c r="G502" s="71" t="str">
        <x:v>en-NA</x:v>
      </x:c>
    </x:row>
    <x:row r="503" ht="27" customHeight="1">
      <x:c r="A503" s="71" t="str">
        <x:v>纳米比亚</x:v>
      </x:c>
      <x:c r="B503" s="71" t="str">
        <x:v>第2组</x:v>
      </x:c>
      <x:c r="C503" s="71" t="str">
        <x:v>NAD</x:v>
      </x:c>
      <x:c r="D503" s="71" t="str">
        <x:v>新Pro／年</x:v>
      </x:c>
      <x:c r="E503" s="73" t="n">
        <x:v>1775.88</x:v>
      </x:c>
      <x:c r="F503" s="71" t="str">
        <x:v>$1,775.88</x:v>
      </x:c>
      <x:c r="G503" s="71" t="str">
        <x:v>en-NA</x:v>
      </x:c>
    </x:row>
    <x:row r="504" ht="27" customHeight="1">
      <x:c r="A504" s="71" t="str">
        <x:v>纳米比亚</x:v>
      </x:c>
      <x:c r="B504" s="71" t="str">
        <x:v>第2组</x:v>
      </x:c>
      <x:c r="C504" s="71" t="str">
        <x:v>NAD</x:v>
      </x:c>
      <x:c r="D504" s="71" t="str">
        <x:v>作业包／3份</x:v>
      </x:c>
      <x:c r="E504" s="73" t="n">
        <x:v>48.99</x:v>
      </x:c>
      <x:c r="F504" s="71" t="str">
        <x:v>$48.99</x:v>
      </x:c>
      <x:c r="G504" s="71" t="str">
        <x:v>en-NA</x:v>
      </x:c>
    </x:row>
    <x:row r="505" ht="27" customHeight="1">
      <x:c r="A505" s="71" t="str">
        <x:v>纳米比亚</x:v>
      </x:c>
      <x:c r="B505" s="71" t="str">
        <x:v>第2组</x:v>
      </x:c>
      <x:c r="C505" s="71" t="str">
        <x:v>NAD</x:v>
      </x:c>
      <x:c r="D505" s="71" t="str">
        <x:v>检测包／5份</x:v>
      </x:c>
      <x:c r="E505" s="73" t="n">
        <x:v>24.99</x:v>
      </x:c>
      <x:c r="F505" s="71" t="str">
        <x:v>$24.99</x:v>
      </x:c>
      <x:c r="G505" s="71" t="str">
        <x:v>en-NA</x:v>
      </x:c>
    </x:row>
    <x:row r="506" ht="27" customHeight="1">
      <x:c r="A506" s="71" t="str">
        <x:v>纳米比亚</x:v>
      </x:c>
      <x:c r="B506" s="71" t="str">
        <x:v>第2组</x:v>
      </x:c>
      <x:c r="C506" s="71" t="str">
        <x:v>NAD</x:v>
      </x:c>
      <x:c r="D506" s="71" t="str">
        <x:v>Humanizer包／3份</x:v>
      </x:c>
      <x:c r="E506" s="73" t="n">
        <x:v>34.99</x:v>
      </x:c>
      <x:c r="F506" s="71" t="str">
        <x:v>$34.99</x:v>
      </x:c>
      <x:c r="G506" s="71" t="str">
        <x:v>en-NA</x:v>
      </x:c>
    </x:row>
    <x:row r="507" ht="27" customHeight="1">
      <x:c r="A507" s="71" t="str">
        <x:v>纳米比亚</x:v>
      </x:c>
      <x:c r="B507" s="71" t="str">
        <x:v>第2组</x:v>
      </x:c>
      <x:c r="C507" s="71" t="str">
        <x:v>NAD</x:v>
      </x:c>
      <x:c r="D507" s="71" t="str">
        <x:v>Study Pass／月</x:v>
      </x:c>
      <x:c r="E507" s="73" t="n">
        <x:v>10</x:v>
      </x:c>
      <x:c r="F507" s="71" t="str">
        <x:v>$10.00</x:v>
      </x:c>
      <x:c r="G507" s="71" t="str">
        <x:v>en-NA</x:v>
      </x:c>
    </x:row>
    <x:row r="508" ht="27" customHeight="1">
      <x:c r="A508" s="71" t="str">
        <x:v>秘鲁</x:v>
      </x:c>
      <x:c r="B508" s="71" t="str">
        <x:v>第2组</x:v>
      </x:c>
      <x:c r="C508" s="71" t="str">
        <x:v>PEN</x:v>
      </x:c>
      <x:c r="D508" s="71" t="str">
        <x:v>Trial／7天</x:v>
      </x:c>
      <x:c r="E508" s="73" t="n">
        <x:v>3.99</x:v>
      </x:c>
      <x:c r="F508" s="71" t="str">
        <x:v>S/ 3.99</x:v>
      </x:c>
      <x:c r="G508" s="71" t="str">
        <x:v>es-PE</x:v>
      </x:c>
    </x:row>
    <x:row r="509" ht="27" customHeight="1">
      <x:c r="A509" s="71" t="str">
        <x:v>秘鲁</x:v>
      </x:c>
      <x:c r="B509" s="71" t="str">
        <x:v>第2组</x:v>
      </x:c>
      <x:c r="C509" s="71" t="str">
        <x:v>PEN</x:v>
      </x:c>
      <x:c r="D509" s="71" t="str">
        <x:v>Basic／月</x:v>
      </x:c>
      <x:c r="E509" s="73" t="n">
        <x:v>26.99</x:v>
      </x:c>
      <x:c r="F509" s="71" t="str">
        <x:v>S/ 26.99</x:v>
      </x:c>
      <x:c r="G509" s="71" t="str">
        <x:v>es-PE</x:v>
      </x:c>
    </x:row>
    <x:row r="510" ht="27" customHeight="1">
      <x:c r="A510" s="71" t="str">
        <x:v>秘鲁</x:v>
      </x:c>
      <x:c r="B510" s="71" t="str">
        <x:v>第2组</x:v>
      </x:c>
      <x:c r="C510" s="71" t="str">
        <x:v>PEN</x:v>
      </x:c>
      <x:c r="D510" s="71" t="str">
        <x:v>Plus／月</x:v>
      </x:c>
      <x:c r="E510" s="73" t="n">
        <x:v>54.99</x:v>
      </x:c>
      <x:c r="F510" s="71" t="str">
        <x:v>S/ 54.99</x:v>
      </x:c>
      <x:c r="G510" s="71" t="str">
        <x:v>es-PE</x:v>
      </x:c>
    </x:row>
    <x:row r="511" ht="27" customHeight="1">
      <x:c r="A511" s="71" t="str">
        <x:v>秘鲁</x:v>
      </x:c>
      <x:c r="B511" s="71" t="str">
        <x:v>第2组</x:v>
      </x:c>
      <x:c r="C511" s="71" t="str">
        <x:v>PEN</x:v>
      </x:c>
      <x:c r="D511" s="71" t="str">
        <x:v>新Pro／月</x:v>
      </x:c>
      <x:c r="E511" s="73" t="n">
        <x:v>40.99</x:v>
      </x:c>
      <x:c r="F511" s="71" t="str">
        <x:v>S/ 40.99</x:v>
      </x:c>
      <x:c r="G511" s="71" t="str">
        <x:v>es-PE</x:v>
      </x:c>
    </x:row>
    <x:row r="512" ht="27" customHeight="1">
      <x:c r="A512" s="71" t="str">
        <x:v>秘鲁</x:v>
      </x:c>
      <x:c r="B512" s="71" t="str">
        <x:v>第2组</x:v>
      </x:c>
      <x:c r="C512" s="71" t="str">
        <x:v>PEN</x:v>
      </x:c>
      <x:c r="D512" s="71" t="str">
        <x:v>Basic／年</x:v>
      </x:c>
      <x:c r="E512" s="73" t="n">
        <x:v>131.99</x:v>
      </x:c>
      <x:c r="F512" s="71" t="str">
        <x:v>S/ 131.99</x:v>
      </x:c>
      <x:c r="G512" s="71" t="str">
        <x:v>es-PE</x:v>
      </x:c>
    </x:row>
    <x:row r="513" ht="27" customHeight="1">
      <x:c r="A513" s="71" t="str">
        <x:v>秘鲁</x:v>
      </x:c>
      <x:c r="B513" s="71" t="str">
        <x:v>第2组</x:v>
      </x:c>
      <x:c r="C513" s="71" t="str">
        <x:v>PEN</x:v>
      </x:c>
      <x:c r="D513" s="71" t="str">
        <x:v>Plus／年</x:v>
      </x:c>
      <x:c r="E513" s="73" t="n">
        <x:v>263.99</x:v>
      </x:c>
      <x:c r="F513" s="71" t="str">
        <x:v>S/ 263.99</x:v>
      </x:c>
      <x:c r="G513" s="71" t="str">
        <x:v>es-PE</x:v>
      </x:c>
    </x:row>
    <x:row r="514" ht="27" customHeight="1">
      <x:c r="A514" s="71" t="str">
        <x:v>秘鲁</x:v>
      </x:c>
      <x:c r="B514" s="71" t="str">
        <x:v>第2组</x:v>
      </x:c>
      <x:c r="C514" s="71" t="str">
        <x:v>PEN</x:v>
      </x:c>
      <x:c r="D514" s="71" t="str">
        <x:v>新Pro／年</x:v>
      </x:c>
      <x:c r="E514" s="73" t="n">
        <x:v>491.88</x:v>
      </x:c>
      <x:c r="F514" s="71" t="str">
        <x:v>S/ 491.88</x:v>
      </x:c>
      <x:c r="G514" s="71" t="str">
        <x:v>es-PE</x:v>
      </x:c>
    </x:row>
    <x:row r="515" ht="27" customHeight="1">
      <x:c r="A515" s="71" t="str">
        <x:v>秘鲁</x:v>
      </x:c>
      <x:c r="B515" s="71" t="str">
        <x:v>第2组</x:v>
      </x:c>
      <x:c r="C515" s="71" t="str">
        <x:v>PEN</x:v>
      </x:c>
      <x:c r="D515" s="71" t="str">
        <x:v>作业包／3份</x:v>
      </x:c>
      <x:c r="E515" s="73" t="n">
        <x:v>13.99</x:v>
      </x:c>
      <x:c r="F515" s="71" t="str">
        <x:v>S/ 13.99</x:v>
      </x:c>
      <x:c r="G515" s="71" t="str">
        <x:v>es-PE</x:v>
      </x:c>
    </x:row>
    <x:row r="516" ht="27" customHeight="1">
      <x:c r="A516" s="71" t="str">
        <x:v>秘鲁</x:v>
      </x:c>
      <x:c r="B516" s="71" t="str">
        <x:v>第2组</x:v>
      </x:c>
      <x:c r="C516" s="71" t="str">
        <x:v>PEN</x:v>
      </x:c>
      <x:c r="D516" s="71" t="str">
        <x:v>检测包／5份</x:v>
      </x:c>
      <x:c r="E516" s="73" t="n">
        <x:v>6.99</x:v>
      </x:c>
      <x:c r="F516" s="71" t="str">
        <x:v>S/ 6.99</x:v>
      </x:c>
      <x:c r="G516" s="71" t="str">
        <x:v>es-PE</x:v>
      </x:c>
    </x:row>
    <x:row r="517" ht="27" customHeight="1">
      <x:c r="A517" s="71" t="str">
        <x:v>秘鲁</x:v>
      </x:c>
      <x:c r="B517" s="71" t="str">
        <x:v>第2组</x:v>
      </x:c>
      <x:c r="C517" s="71" t="str">
        <x:v>PEN</x:v>
      </x:c>
      <x:c r="D517" s="71" t="str">
        <x:v>Humanizer包／3份</x:v>
      </x:c>
      <x:c r="E517" s="73" t="n">
        <x:v>9.49</x:v>
      </x:c>
      <x:c r="F517" s="71" t="str">
        <x:v>S/ 9.49</x:v>
      </x:c>
      <x:c r="G517" s="71" t="str">
        <x:v>es-PE</x:v>
      </x:c>
    </x:row>
    <x:row r="518" ht="27" customHeight="1">
      <x:c r="A518" s="71" t="str">
        <x:v>秘鲁</x:v>
      </x:c>
      <x:c r="B518" s="71" t="str">
        <x:v>第2组</x:v>
      </x:c>
      <x:c r="C518" s="71" t="str">
        <x:v>PEN</x:v>
      </x:c>
      <x:c r="D518" s="71" t="str">
        <x:v>Study Pass／月</x:v>
      </x:c>
      <x:c r="E518" s="73" t="n">
        <x:v>2.1</x:v>
      </x:c>
      <x:c r="F518" s="71" t="str">
        <x:v>S/ 2.10</x:v>
      </x:c>
      <x:c r="G518" s="71" t="str">
        <x:v>es-PE</x:v>
      </x:c>
    </x:row>
    <x:row r="519" ht="27" customHeight="1">
      <x:c r="A519" s="71" t="str">
        <x:v>乌克兰</x:v>
      </x:c>
      <x:c r="B519" s="71" t="str">
        <x:v>第2组</x:v>
      </x:c>
      <x:c r="C519" s="71" t="str">
        <x:v>UAH</x:v>
      </x:c>
      <x:c r="D519" s="71" t="str">
        <x:v>Trial／7天</x:v>
      </x:c>
      <x:c r="E519" s="72" t="n">
        <x:v>34</x:v>
      </x:c>
      <x:c r="F519" s="71" t="str">
        <x:v>34 ₴</x:v>
      </x:c>
      <x:c r="G519" s="71" t="str">
        <x:v>uk-UA</x:v>
      </x:c>
    </x:row>
    <x:row r="520" ht="27" customHeight="1">
      <x:c r="A520" s="71" t="str">
        <x:v>乌克兰</x:v>
      </x:c>
      <x:c r="B520" s="71" t="str">
        <x:v>第2组</x:v>
      </x:c>
      <x:c r="C520" s="71" t="str">
        <x:v>UAH</x:v>
      </x:c>
      <x:c r="D520" s="71" t="str">
        <x:v>Basic／月</x:v>
      </x:c>
      <x:c r="E520" s="72" t="n">
        <x:v>229</x:v>
      </x:c>
      <x:c r="F520" s="71" t="str">
        <x:v>229 ₴</x:v>
      </x:c>
      <x:c r="G520" s="71" t="str">
        <x:v>uk-UA</x:v>
      </x:c>
    </x:row>
    <x:row r="521" ht="27" customHeight="1">
      <x:c r="A521" s="71" t="str">
        <x:v>乌克兰</x:v>
      </x:c>
      <x:c r="B521" s="71" t="str">
        <x:v>第2组</x:v>
      </x:c>
      <x:c r="C521" s="71" t="str">
        <x:v>UAH</x:v>
      </x:c>
      <x:c r="D521" s="71" t="str">
        <x:v>Plus／月</x:v>
      </x:c>
      <x:c r="E521" s="72" t="n">
        <x:v>449</x:v>
      </x:c>
      <x:c r="F521" s="71" t="str">
        <x:v>449 ₴</x:v>
      </x:c>
      <x:c r="G521" s="71" t="str">
        <x:v>uk-UA</x:v>
      </x:c>
    </x:row>
    <x:row r="522" ht="27" customHeight="1">
      <x:c r="A522" s="71" t="str">
        <x:v>乌克兰</x:v>
      </x:c>
      <x:c r="B522" s="71" t="str">
        <x:v>第2组</x:v>
      </x:c>
      <x:c r="C522" s="71" t="str">
        <x:v>UAH</x:v>
      </x:c>
      <x:c r="D522" s="71" t="str">
        <x:v>新Pro／月</x:v>
      </x:c>
      <x:c r="E522" s="72" t="n">
        <x:v>339</x:v>
      </x:c>
      <x:c r="F522" s="71" t="str">
        <x:v>339 ₴</x:v>
      </x:c>
      <x:c r="G522" s="71" t="str">
        <x:v>uk-UA</x:v>
      </x:c>
    </x:row>
    <x:row r="523" ht="27" customHeight="1">
      <x:c r="A523" s="71" t="str">
        <x:v>乌克兰</x:v>
      </x:c>
      <x:c r="B523" s="71" t="str">
        <x:v>第2组</x:v>
      </x:c>
      <x:c r="C523" s="71" t="str">
        <x:v>UAH</x:v>
      </x:c>
      <x:c r="D523" s="71" t="str">
        <x:v>Basic／年</x:v>
      </x:c>
      <x:c r="E523" s="72" t="n">
        <x:v>1099</x:v>
      </x:c>
      <x:c r="F523" s="71" t="str">
        <x:v>1 099 ₴</x:v>
      </x:c>
      <x:c r="G523" s="71" t="str">
        <x:v>uk-UA</x:v>
      </x:c>
    </x:row>
    <x:row r="524" ht="27" customHeight="1">
      <x:c r="A524" s="71" t="str">
        <x:v>乌克兰</x:v>
      </x:c>
      <x:c r="B524" s="71" t="str">
        <x:v>第2组</x:v>
      </x:c>
      <x:c r="C524" s="71" t="str">
        <x:v>UAH</x:v>
      </x:c>
      <x:c r="D524" s="71" t="str">
        <x:v>Plus／年</x:v>
      </x:c>
      <x:c r="E524" s="72" t="n">
        <x:v>2199</x:v>
      </x:c>
      <x:c r="F524" s="71" t="str">
        <x:v>2 199 ₴</x:v>
      </x:c>
      <x:c r="G524" s="71" t="str">
        <x:v>uk-UA</x:v>
      </x:c>
    </x:row>
    <x:row r="525" ht="27" customHeight="1">
      <x:c r="A525" s="71" t="str">
        <x:v>乌克兰</x:v>
      </x:c>
      <x:c r="B525" s="71" t="str">
        <x:v>第2组</x:v>
      </x:c>
      <x:c r="C525" s="71" t="str">
        <x:v>UAH</x:v>
      </x:c>
      <x:c r="D525" s="71" t="str">
        <x:v>新Pro／年</x:v>
      </x:c>
      <x:c r="E525" s="72" t="n">
        <x:v>4068</x:v>
      </x:c>
      <x:c r="F525" s="71" t="str">
        <x:v>4 068 ₴</x:v>
      </x:c>
      <x:c r="G525" s="71" t="str">
        <x:v>uk-UA</x:v>
      </x:c>
    </x:row>
    <x:row r="526" ht="27" customHeight="1">
      <x:c r="A526" s="71" t="str">
        <x:v>乌克兰</x:v>
      </x:c>
      <x:c r="B526" s="71" t="str">
        <x:v>第2组</x:v>
      </x:c>
      <x:c r="C526" s="71" t="str">
        <x:v>UAH</x:v>
      </x:c>
      <x:c r="D526" s="71" t="str">
        <x:v>作业包／3份</x:v>
      </x:c>
      <x:c r="E526" s="72" t="n">
        <x:v>109</x:v>
      </x:c>
      <x:c r="F526" s="71" t="str">
        <x:v>109 ₴</x:v>
      </x:c>
      <x:c r="G526" s="71" t="str">
        <x:v>uk-UA</x:v>
      </x:c>
    </x:row>
    <x:row r="527" ht="27" customHeight="1">
      <x:c r="A527" s="71" t="str">
        <x:v>乌克兰</x:v>
      </x:c>
      <x:c r="B527" s="71" t="str">
        <x:v>第2组</x:v>
      </x:c>
      <x:c r="C527" s="71" t="str">
        <x:v>UAH</x:v>
      </x:c>
      <x:c r="D527" s="71" t="str">
        <x:v>检测包／5份</x:v>
      </x:c>
      <x:c r="E527" s="72" t="n">
        <x:v>59</x:v>
      </x:c>
      <x:c r="F527" s="71" t="str">
        <x:v>59 ₴</x:v>
      </x:c>
      <x:c r="G527" s="71" t="str">
        <x:v>uk-UA</x:v>
      </x:c>
    </x:row>
    <x:row r="528" ht="27" customHeight="1">
      <x:c r="A528" s="71" t="str">
        <x:v>乌克兰</x:v>
      </x:c>
      <x:c r="B528" s="71" t="str">
        <x:v>第2组</x:v>
      </x:c>
      <x:c r="C528" s="71" t="str">
        <x:v>UAH</x:v>
      </x:c>
      <x:c r="D528" s="71" t="str">
        <x:v>Humanizer包／3份</x:v>
      </x:c>
      <x:c r="E528" s="72" t="n">
        <x:v>79</x:v>
      </x:c>
      <x:c r="F528" s="71" t="str">
        <x:v>79 ₴</x:v>
      </x:c>
      <x:c r="G528" s="71" t="str">
        <x:v>uk-UA</x:v>
      </x:c>
    </x:row>
    <x:row r="529" ht="27" customHeight="1">
      <x:c r="A529" s="71" t="str">
        <x:v>乌克兰</x:v>
      </x:c>
      <x:c r="B529" s="71" t="str">
        <x:v>第2组</x:v>
      </x:c>
      <x:c r="C529" s="71" t="str">
        <x:v>UAH</x:v>
      </x:c>
      <x:c r="D529" s="71" t="str">
        <x:v>Study Pass／月</x:v>
      </x:c>
      <x:c r="E529" s="72" t="n">
        <x:v>28</x:v>
      </x:c>
      <x:c r="F529" s="71" t="str">
        <x:v>28 ₴</x:v>
      </x:c>
      <x:c r="G529" s="71" t="str">
        <x:v>uk-UA</x:v>
      </x:c>
    </x:row>
    <x:row r="530" ht="27" customHeight="1">
      <x:c r="A530" s="71" t="str">
        <x:v>阿联酋</x:v>
      </x:c>
      <x:c r="B530" s="71" t="str">
        <x:v>第2组</x:v>
      </x:c>
      <x:c r="C530" s="71" t="str">
        <x:v>AED</x:v>
      </x:c>
      <x:c r="D530" s="71" t="str">
        <x:v>Trial／7天</x:v>
      </x:c>
      <x:c r="E530" s="73" t="n">
        <x:v>7.99</x:v>
      </x:c>
      <x:c r="F530" s="71" t="str">
        <x:v>‏7.99 د.إ.‏</x:v>
      </x:c>
      <x:c r="G530" s="71" t="str">
        <x:v>ar-AE</x:v>
      </x:c>
    </x:row>
    <x:row r="531" ht="27" customHeight="1">
      <x:c r="A531" s="71" t="str">
        <x:v>阿联酋</x:v>
      </x:c>
      <x:c r="B531" s="71" t="str">
        <x:v>第2组</x:v>
      </x:c>
      <x:c r="C531" s="71" t="str">
        <x:v>AED</x:v>
      </x:c>
      <x:c r="D531" s="71" t="str">
        <x:v>Basic／月</x:v>
      </x:c>
      <x:c r="E531" s="73" t="n">
        <x:v>54.99</x:v>
      </x:c>
      <x:c r="F531" s="71" t="str">
        <x:v>‏54.99 د.إ.‏</x:v>
      </x:c>
      <x:c r="G531" s="71" t="str">
        <x:v>ar-AE</x:v>
      </x:c>
    </x:row>
    <x:row r="532" ht="27" customHeight="1">
      <x:c r="A532" s="71" t="str">
        <x:v>阿联酋</x:v>
      </x:c>
      <x:c r="B532" s="71" t="str">
        <x:v>第2组</x:v>
      </x:c>
      <x:c r="C532" s="71" t="str">
        <x:v>AED</x:v>
      </x:c>
      <x:c r="D532" s="71" t="str">
        <x:v>Plus／月</x:v>
      </x:c>
      <x:c r="E532" s="73" t="n">
        <x:v>109.99</x:v>
      </x:c>
      <x:c r="F532" s="71" t="str">
        <x:v>‏109.99 د.إ.‏</x:v>
      </x:c>
      <x:c r="G532" s="71" t="str">
        <x:v>ar-AE</x:v>
      </x:c>
    </x:row>
    <x:row r="533" ht="27" customHeight="1">
      <x:c r="A533" s="71" t="str">
        <x:v>阿联酋</x:v>
      </x:c>
      <x:c r="B533" s="71" t="str">
        <x:v>第2组</x:v>
      </x:c>
      <x:c r="C533" s="71" t="str">
        <x:v>AED</x:v>
      </x:c>
      <x:c r="D533" s="71" t="str">
        <x:v>新Pro／月</x:v>
      </x:c>
      <x:c r="E533" s="73" t="n">
        <x:v>82.99</x:v>
      </x:c>
      <x:c r="F533" s="71" t="str">
        <x:v>‏82.99 د.إ.‏</x:v>
      </x:c>
      <x:c r="G533" s="71" t="str">
        <x:v>ar-AE</x:v>
      </x:c>
    </x:row>
    <x:row r="534" ht="27" customHeight="1">
      <x:c r="A534" s="71" t="str">
        <x:v>阿联酋</x:v>
      </x:c>
      <x:c r="B534" s="71" t="str">
        <x:v>第2组</x:v>
      </x:c>
      <x:c r="C534" s="71" t="str">
        <x:v>AED</x:v>
      </x:c>
      <x:c r="D534" s="71" t="str">
        <x:v>Basic／年</x:v>
      </x:c>
      <x:c r="E534" s="73" t="n">
        <x:v>263.99</x:v>
      </x:c>
      <x:c r="F534" s="71" t="str">
        <x:v>‏263.99 د.إ.‏</x:v>
      </x:c>
      <x:c r="G534" s="71" t="str">
        <x:v>ar-AE</x:v>
      </x:c>
    </x:row>
    <x:row r="535" ht="27" customHeight="1">
      <x:c r="A535" s="71" t="str">
        <x:v>阿联酋</x:v>
      </x:c>
      <x:c r="B535" s="71" t="str">
        <x:v>第2组</x:v>
      </x:c>
      <x:c r="C535" s="71" t="str">
        <x:v>AED</x:v>
      </x:c>
      <x:c r="D535" s="71" t="str">
        <x:v>Plus／年</x:v>
      </x:c>
      <x:c r="E535" s="73" t="n">
        <x:v>528.99</x:v>
      </x:c>
      <x:c r="F535" s="71" t="str">
        <x:v>‏528.99 د.إ.‏</x:v>
      </x:c>
      <x:c r="G535" s="71" t="str">
        <x:v>ar-AE</x:v>
      </x:c>
    </x:row>
    <x:row r="536" ht="27" customHeight="1">
      <x:c r="A536" s="71" t="str">
        <x:v>阿联酋</x:v>
      </x:c>
      <x:c r="B536" s="71" t="str">
        <x:v>第2组</x:v>
      </x:c>
      <x:c r="C536" s="71" t="str">
        <x:v>AED</x:v>
      </x:c>
      <x:c r="D536" s="71" t="str">
        <x:v>新Pro／年</x:v>
      </x:c>
      <x:c r="E536" s="73" t="n">
        <x:v>995.88</x:v>
      </x:c>
      <x:c r="F536" s="71" t="str">
        <x:v>‏995.88 د.إ.‏</x:v>
      </x:c>
      <x:c r="G536" s="71" t="str">
        <x:v>ar-AE</x:v>
      </x:c>
    </x:row>
    <x:row r="537" ht="27" customHeight="1">
      <x:c r="A537" s="71" t="str">
        <x:v>阿联酋</x:v>
      </x:c>
      <x:c r="B537" s="71" t="str">
        <x:v>第2组</x:v>
      </x:c>
      <x:c r="C537" s="71" t="str">
        <x:v>AED</x:v>
      </x:c>
      <x:c r="D537" s="71" t="str">
        <x:v>作业包／3份</x:v>
      </x:c>
      <x:c r="E537" s="73" t="n">
        <x:v>27.99</x:v>
      </x:c>
      <x:c r="F537" s="71" t="str">
        <x:v>‏27.99 د.إ.‏</x:v>
      </x:c>
      <x:c r="G537" s="71" t="str">
        <x:v>ar-AE</x:v>
      </x:c>
    </x:row>
    <x:row r="538" ht="27" customHeight="1">
      <x:c r="A538" s="71" t="str">
        <x:v>阿联酋</x:v>
      </x:c>
      <x:c r="B538" s="71" t="str">
        <x:v>第2组</x:v>
      </x:c>
      <x:c r="C538" s="71" t="str">
        <x:v>AED</x:v>
      </x:c>
      <x:c r="D538" s="71" t="str">
        <x:v>检测包／5份</x:v>
      </x:c>
      <x:c r="E538" s="73" t="n">
        <x:v>13.99</x:v>
      </x:c>
      <x:c r="F538" s="71" t="str">
        <x:v>‏13.99 د.إ.‏</x:v>
      </x:c>
      <x:c r="G538" s="71" t="str">
        <x:v>ar-AE</x:v>
      </x:c>
    </x:row>
    <x:row r="539" ht="27" customHeight="1">
      <x:c r="A539" s="71" t="str">
        <x:v>阿联酋</x:v>
      </x:c>
      <x:c r="B539" s="71" t="str">
        <x:v>第2组</x:v>
      </x:c>
      <x:c r="C539" s="71" t="str">
        <x:v>AED</x:v>
      </x:c>
      <x:c r="D539" s="71" t="str">
        <x:v>Humanizer包／3份</x:v>
      </x:c>
      <x:c r="E539" s="73" t="n">
        <x:v>18.99</x:v>
      </x:c>
      <x:c r="F539" s="71" t="str">
        <x:v>‏18.99 د.إ.‏</x:v>
      </x:c>
      <x:c r="G539" s="71" t="str">
        <x:v>ar-AE</x:v>
      </x:c>
    </x:row>
    <x:row r="540" ht="27" customHeight="1">
      <x:c r="A540" s="71" t="str">
        <x:v>阿联酋</x:v>
      </x:c>
      <x:c r="B540" s="71" t="str">
        <x:v>第2组</x:v>
      </x:c>
      <x:c r="C540" s="71" t="str">
        <x:v>AED</x:v>
      </x:c>
      <x:c r="D540" s="71" t="str">
        <x:v>Study Pass／月</x:v>
      </x:c>
      <x:c r="E540" s="73" t="n">
        <x:v>2.8</x:v>
      </x:c>
      <x:c r="F540" s="71" t="str">
        <x:v>‏2.80 د.إ.‏</x:v>
      </x:c>
      <x:c r="G540" s="71" t="str">
        <x:v>ar-AE</x:v>
      </x:c>
    </x:row>
    <x:row r="541" ht="27" customHeight="1">
      <x:c r="A541" s="71" t="str">
        <x:v>津巴布韦</x:v>
      </x:c>
      <x:c r="B541" s="71" t="str">
        <x:v>第2组</x:v>
      </x:c>
      <x:c r="C541" s="71" t="str">
        <x:v>USD</x:v>
      </x:c>
      <x:c r="D541" s="71" t="str">
        <x:v>Trial／7天</x:v>
      </x:c>
      <x:c r="E541" s="73" t="n">
        <x:v>0.59</x:v>
      </x:c>
      <x:c r="F541" s="71" t="str">
        <x:v>US$0.59</x:v>
      </x:c>
      <x:c r="G541" s="71" t="str">
        <x:v>en-ZW</x:v>
      </x:c>
    </x:row>
    <x:row r="542" ht="27" customHeight="1">
      <x:c r="A542" s="71" t="str">
        <x:v>津巴布韦</x:v>
      </x:c>
      <x:c r="B542" s="71" t="str">
        <x:v>第2组</x:v>
      </x:c>
      <x:c r="C542" s="71" t="str">
        <x:v>USD</x:v>
      </x:c>
      <x:c r="D542" s="71" t="str">
        <x:v>Basic／月</x:v>
      </x:c>
      <x:c r="E542" s="73" t="n">
        <x:v>3.99</x:v>
      </x:c>
      <x:c r="F542" s="71" t="str">
        <x:v>US$3.99</x:v>
      </x:c>
      <x:c r="G542" s="71" t="str">
        <x:v>en-ZW</x:v>
      </x:c>
    </x:row>
    <x:row r="543" ht="27" customHeight="1">
      <x:c r="A543" s="71" t="str">
        <x:v>津巴布韦</x:v>
      </x:c>
      <x:c r="B543" s="71" t="str">
        <x:v>第2组</x:v>
      </x:c>
      <x:c r="C543" s="71" t="str">
        <x:v>USD</x:v>
      </x:c>
      <x:c r="D543" s="71" t="str">
        <x:v>Plus／月</x:v>
      </x:c>
      <x:c r="E543" s="73" t="n">
        <x:v>7.99</x:v>
      </x:c>
      <x:c r="F543" s="71" t="str">
        <x:v>US$7.99</x:v>
      </x:c>
      <x:c r="G543" s="71" t="str">
        <x:v>en-ZW</x:v>
      </x:c>
    </x:row>
    <x:row r="544" ht="27" customHeight="1">
      <x:c r="A544" s="71" t="str">
        <x:v>津巴布韦</x:v>
      </x:c>
      <x:c r="B544" s="71" t="str">
        <x:v>第2组</x:v>
      </x:c>
      <x:c r="C544" s="71" t="str">
        <x:v>USD</x:v>
      </x:c>
      <x:c r="D544" s="71" t="str">
        <x:v>新Pro／月</x:v>
      </x:c>
      <x:c r="E544" s="73" t="n">
        <x:v>5.99</x:v>
      </x:c>
      <x:c r="F544" s="71" t="str">
        <x:v>US$5.99</x:v>
      </x:c>
      <x:c r="G544" s="71" t="str">
        <x:v>en-ZW</x:v>
      </x:c>
    </x:row>
    <x:row r="545" ht="27" customHeight="1">
      <x:c r="A545" s="71" t="str">
        <x:v>津巴布韦</x:v>
      </x:c>
      <x:c r="B545" s="71" t="str">
        <x:v>第2组</x:v>
      </x:c>
      <x:c r="C545" s="71" t="str">
        <x:v>USD</x:v>
      </x:c>
      <x:c r="D545" s="71" t="str">
        <x:v>Basic／年</x:v>
      </x:c>
      <x:c r="E545" s="73" t="n">
        <x:v>18.99</x:v>
      </x:c>
      <x:c r="F545" s="71" t="str">
        <x:v>US$18.99</x:v>
      </x:c>
      <x:c r="G545" s="71" t="str">
        <x:v>en-ZW</x:v>
      </x:c>
    </x:row>
    <x:row r="546" ht="27" customHeight="1">
      <x:c r="A546" s="71" t="str">
        <x:v>津巴布韦</x:v>
      </x:c>
      <x:c r="B546" s="71" t="str">
        <x:v>第2组</x:v>
      </x:c>
      <x:c r="C546" s="71" t="str">
        <x:v>USD</x:v>
      </x:c>
      <x:c r="D546" s="71" t="str">
        <x:v>Plus／年</x:v>
      </x:c>
      <x:c r="E546" s="73" t="n">
        <x:v>37.99</x:v>
      </x:c>
      <x:c r="F546" s="71" t="str">
        <x:v>US$37.99</x:v>
      </x:c>
      <x:c r="G546" s="71" t="str">
        <x:v>en-ZW</x:v>
      </x:c>
    </x:row>
    <x:row r="547" ht="27" customHeight="1">
      <x:c r="A547" s="71" t="str">
        <x:v>津巴布韦</x:v>
      </x:c>
      <x:c r="B547" s="71" t="str">
        <x:v>第2组</x:v>
      </x:c>
      <x:c r="C547" s="71" t="str">
        <x:v>USD</x:v>
      </x:c>
      <x:c r="D547" s="71" t="str">
        <x:v>新Pro／年</x:v>
      </x:c>
      <x:c r="E547" s="73" t="n">
        <x:v>71.88</x:v>
      </x:c>
      <x:c r="F547" s="71" t="str">
        <x:v>US$71.88</x:v>
      </x:c>
      <x:c r="G547" s="71" t="str">
        <x:v>en-ZW</x:v>
      </x:c>
    </x:row>
    <x:row r="548" ht="27" customHeight="1">
      <x:c r="A548" s="71" t="str">
        <x:v>津巴布韦</x:v>
      </x:c>
      <x:c r="B548" s="71" t="str">
        <x:v>第2组</x:v>
      </x:c>
      <x:c r="C548" s="71" t="str">
        <x:v>USD</x:v>
      </x:c>
      <x:c r="D548" s="71" t="str">
        <x:v>作业包／3份</x:v>
      </x:c>
      <x:c r="E548" s="73" t="n">
        <x:v>1.99</x:v>
      </x:c>
      <x:c r="F548" s="71" t="str">
        <x:v>US$1.99</x:v>
      </x:c>
      <x:c r="G548" s="71" t="str">
        <x:v>en-ZW</x:v>
      </x:c>
    </x:row>
    <x:row r="549" ht="27" customHeight="1">
      <x:c r="A549" s="71" t="str">
        <x:v>津巴布韦</x:v>
      </x:c>
      <x:c r="B549" s="71" t="str">
        <x:v>第2组</x:v>
      </x:c>
      <x:c r="C549" s="71" t="str">
        <x:v>USD</x:v>
      </x:c>
      <x:c r="D549" s="71" t="str">
        <x:v>检测包／5份</x:v>
      </x:c>
      <x:c r="E549" s="73" t="n">
        <x:v>0.99</x:v>
      </x:c>
      <x:c r="F549" s="71" t="str">
        <x:v>US$0.99</x:v>
      </x:c>
      <x:c r="G549" s="71" t="str">
        <x:v>en-ZW</x:v>
      </x:c>
    </x:row>
    <x:row r="550" ht="27" customHeight="1">
      <x:c r="A550" s="71" t="str">
        <x:v>津巴布韦</x:v>
      </x:c>
      <x:c r="B550" s="71" t="str">
        <x:v>第2组</x:v>
      </x:c>
      <x:c r="C550" s="71" t="str">
        <x:v>USD</x:v>
      </x:c>
      <x:c r="D550" s="71" t="str">
        <x:v>Humanizer包／3份</x:v>
      </x:c>
      <x:c r="E550" s="73" t="n">
        <x:v>1.49</x:v>
      </x:c>
      <x:c r="F550" s="71" t="str">
        <x:v>US$1.49</x:v>
      </x:c>
      <x:c r="G550" s="71" t="str">
        <x:v>en-ZW</x:v>
      </x:c>
    </x:row>
    <x:row r="551" ht="27" customHeight="1">
      <x:c r="A551" s="71" t="str">
        <x:v>津巴布韦</x:v>
      </x:c>
      <x:c r="B551" s="71" t="str">
        <x:v>第2组</x:v>
      </x:c>
      <x:c r="C551" s="71" t="str">
        <x:v>USD</x:v>
      </x:c>
      <x:c r="D551" s="71" t="str">
        <x:v>Study Pass／月</x:v>
      </x:c>
      <x:c r="E551" s="73" t="n">
        <x:v>0.6</x:v>
      </x:c>
      <x:c r="F551" s="71" t="str">
        <x:v>US$0.60</x:v>
      </x:c>
      <x:c r="G551" s="71" t="str">
        <x:v>en-ZW</x:v>
      </x:c>
    </x:row>
    <x:row r="552" ht="27" customHeight="1">
      <x:c r="A552" s="71" t="str">
        <x:v>圭亚那</x:v>
      </x:c>
      <x:c r="B552" s="71" t="str">
        <x:v>第2组</x:v>
      </x:c>
      <x:c r="C552" s="71" t="str">
        <x:v>GYD</x:v>
      </x:c>
      <x:c r="D552" s="71" t="str">
        <x:v>Trial／7天</x:v>
      </x:c>
      <x:c r="E552" s="72" t="n">
        <x:v>349</x:v>
      </x:c>
      <x:c r="F552" s="71" t="str">
        <x:v>$349</x:v>
      </x:c>
      <x:c r="G552" s="71" t="str">
        <x:v>en-GY</x:v>
      </x:c>
    </x:row>
    <x:row r="553" ht="27" customHeight="1">
      <x:c r="A553" s="71" t="str">
        <x:v>圭亚那</x:v>
      </x:c>
      <x:c r="B553" s="71" t="str">
        <x:v>第2组</x:v>
      </x:c>
      <x:c r="C553" s="71" t="str">
        <x:v>GYD</x:v>
      </x:c>
      <x:c r="D553" s="71" t="str">
        <x:v>Basic／月</x:v>
      </x:c>
      <x:c r="E553" s="72" t="n">
        <x:v>2299</x:v>
      </x:c>
      <x:c r="F553" s="71" t="str">
        <x:v>$2,299</x:v>
      </x:c>
      <x:c r="G553" s="71" t="str">
        <x:v>en-GY</x:v>
      </x:c>
    </x:row>
    <x:row r="554" ht="27" customHeight="1">
      <x:c r="A554" s="71" t="str">
        <x:v>圭亚那</x:v>
      </x:c>
      <x:c r="B554" s="71" t="str">
        <x:v>第2组</x:v>
      </x:c>
      <x:c r="C554" s="71" t="str">
        <x:v>GYD</x:v>
      </x:c>
      <x:c r="D554" s="71" t="str">
        <x:v>Plus／月</x:v>
      </x:c>
      <x:c r="E554" s="72" t="n">
        <x:v>4599</x:v>
      </x:c>
      <x:c r="F554" s="71" t="str">
        <x:v>$4,599</x:v>
      </x:c>
      <x:c r="G554" s="71" t="str">
        <x:v>en-GY</x:v>
      </x:c>
    </x:row>
    <x:row r="555" ht="27" customHeight="1">
      <x:c r="A555" s="71" t="str">
        <x:v>圭亚那</x:v>
      </x:c>
      <x:c r="B555" s="71" t="str">
        <x:v>第2组</x:v>
      </x:c>
      <x:c r="C555" s="71" t="str">
        <x:v>GYD</x:v>
      </x:c>
      <x:c r="D555" s="71" t="str">
        <x:v>新Pro／月</x:v>
      </x:c>
      <x:c r="E555" s="72" t="n">
        <x:v>3499</x:v>
      </x:c>
      <x:c r="F555" s="71" t="str">
        <x:v>$3,499</x:v>
      </x:c>
      <x:c r="G555" s="71" t="str">
        <x:v>en-GY</x:v>
      </x:c>
    </x:row>
    <x:row r="556" ht="27" customHeight="1">
      <x:c r="A556" s="71" t="str">
        <x:v>圭亚那</x:v>
      </x:c>
      <x:c r="B556" s="71" t="str">
        <x:v>第2组</x:v>
      </x:c>
      <x:c r="C556" s="71" t="str">
        <x:v>GYD</x:v>
      </x:c>
      <x:c r="D556" s="71" t="str">
        <x:v>Basic／年</x:v>
      </x:c>
      <x:c r="E556" s="72" t="n">
        <x:v>10900</x:v>
      </x:c>
      <x:c r="F556" s="71" t="str">
        <x:v>$10,900</x:v>
      </x:c>
      <x:c r="G556" s="71" t="str">
        <x:v>en-GY</x:v>
      </x:c>
    </x:row>
    <x:row r="557" ht="27" customHeight="1">
      <x:c r="A557" s="71" t="str">
        <x:v>圭亚那</x:v>
      </x:c>
      <x:c r="B557" s="71" t="str">
        <x:v>第2组</x:v>
      </x:c>
      <x:c r="C557" s="71" t="str">
        <x:v>GYD</x:v>
      </x:c>
      <x:c r="D557" s="71" t="str">
        <x:v>Plus／年</x:v>
      </x:c>
      <x:c r="E557" s="72" t="n">
        <x:v>21900</x:v>
      </x:c>
      <x:c r="F557" s="71" t="str">
        <x:v>$21,900</x:v>
      </x:c>
      <x:c r="G557" s="71" t="str">
        <x:v>en-GY</x:v>
      </x:c>
    </x:row>
    <x:row r="558" ht="27" customHeight="1">
      <x:c r="A558" s="71" t="str">
        <x:v>圭亚那</x:v>
      </x:c>
      <x:c r="B558" s="71" t="str">
        <x:v>第2组</x:v>
      </x:c>
      <x:c r="C558" s="71" t="str">
        <x:v>GYD</x:v>
      </x:c>
      <x:c r="D558" s="71" t="str">
        <x:v>新Pro／年</x:v>
      </x:c>
      <x:c r="E558" s="72" t="n">
        <x:v>41988</x:v>
      </x:c>
      <x:c r="F558" s="71" t="str">
        <x:v>$41,988</x:v>
      </x:c>
      <x:c r="G558" s="71" t="str">
        <x:v>en-GY</x:v>
      </x:c>
    </x:row>
    <x:row r="559" ht="27" customHeight="1">
      <x:c r="A559" s="71" t="str">
        <x:v>圭亚那</x:v>
      </x:c>
      <x:c r="B559" s="71" t="str">
        <x:v>第2组</x:v>
      </x:c>
      <x:c r="C559" s="71" t="str">
        <x:v>GYD</x:v>
      </x:c>
      <x:c r="D559" s="71" t="str">
        <x:v>作业包／3份</x:v>
      </x:c>
      <x:c r="E559" s="72" t="n">
        <x:v>1199</x:v>
      </x:c>
      <x:c r="F559" s="71" t="str">
        <x:v>$1,199</x:v>
      </x:c>
      <x:c r="G559" s="71" t="str">
        <x:v>en-GY</x:v>
      </x:c>
    </x:row>
    <x:row r="560" ht="27" customHeight="1">
      <x:c r="A560" s="71" t="str">
        <x:v>圭亚那</x:v>
      </x:c>
      <x:c r="B560" s="71" t="str">
        <x:v>第2组</x:v>
      </x:c>
      <x:c r="C560" s="71" t="str">
        <x:v>GYD</x:v>
      </x:c>
      <x:c r="D560" s="71" t="str">
        <x:v>检测包／5份</x:v>
      </x:c>
      <x:c r="E560" s="72" t="n">
        <x:v>579</x:v>
      </x:c>
      <x:c r="F560" s="71" t="str">
        <x:v>$579</x:v>
      </x:c>
      <x:c r="G560" s="71" t="str">
        <x:v>en-GY</x:v>
      </x:c>
    </x:row>
    <x:row r="561" ht="27" customHeight="1">
      <x:c r="A561" s="71" t="str">
        <x:v>圭亚那</x:v>
      </x:c>
      <x:c r="B561" s="71" t="str">
        <x:v>第2组</x:v>
      </x:c>
      <x:c r="C561" s="71" t="str">
        <x:v>GYD</x:v>
      </x:c>
      <x:c r="D561" s="71" t="str">
        <x:v>Humanizer包／3份</x:v>
      </x:c>
      <x:c r="E561" s="72" t="n">
        <x:v>809</x:v>
      </x:c>
      <x:c r="F561" s="71" t="str">
        <x:v>$809</x:v>
      </x:c>
      <x:c r="G561" s="71" t="str">
        <x:v>en-GY</x:v>
      </x:c>
    </x:row>
    <x:row r="562" ht="27" customHeight="1">
      <x:c r="A562" s="71" t="str">
        <x:v>圭亚那</x:v>
      </x:c>
      <x:c r="B562" s="71" t="str">
        <x:v>第2组</x:v>
      </x:c>
      <x:c r="C562" s="71" t="str">
        <x:v>GYD</x:v>
      </x:c>
      <x:c r="D562" s="71" t="str">
        <x:v>Study Pass／月</x:v>
      </x:c>
      <x:c r="E562" s="72" t="n">
        <x:v>130</x:v>
      </x:c>
      <x:c r="F562" s="71" t="str">
        <x:v>$130</x:v>
      </x:c>
      <x:c r="G562" s="71" t="str">
        <x:v>en-GY</x:v>
      </x:c>
    </x:row>
    <x:row r="563" ht="27" customHeight="1">
      <x:c r="A563" s="71" t="str">
        <x:v>巴勒斯坦</x:v>
      </x:c>
      <x:c r="B563" s="71" t="str">
        <x:v>第2组</x:v>
      </x:c>
      <x:c r="C563" s="71" t="str">
        <x:v>ILS</x:v>
      </x:c>
      <x:c r="D563" s="71" t="str">
        <x:v>Trial／7天</x:v>
      </x:c>
      <x:c r="E563" s="73" t="n">
        <x:v>1.99</x:v>
      </x:c>
      <x:c r="F563" s="71" t="str">
        <x:v>‏1.99 ₪</x:v>
      </x:c>
      <x:c r="G563" s="71" t="str">
        <x:v>ar-PS</x:v>
      </x:c>
    </x:row>
    <x:row r="564" ht="27" customHeight="1">
      <x:c r="A564" s="71" t="str">
        <x:v>巴勒斯坦</x:v>
      </x:c>
      <x:c r="B564" s="71" t="str">
        <x:v>第2组</x:v>
      </x:c>
      <x:c r="C564" s="71" t="str">
        <x:v>ILS</x:v>
      </x:c>
      <x:c r="D564" s="71" t="str">
        <x:v>Basic／月</x:v>
      </x:c>
      <x:c r="E564" s="73" t="n">
        <x:v>11.99</x:v>
      </x:c>
      <x:c r="F564" s="71" t="str">
        <x:v>‏11.99 ₪</x:v>
      </x:c>
      <x:c r="G564" s="71" t="str">
        <x:v>ar-PS</x:v>
      </x:c>
    </x:row>
    <x:row r="565" ht="27" customHeight="1">
      <x:c r="A565" s="71" t="str">
        <x:v>巴勒斯坦</x:v>
      </x:c>
      <x:c r="B565" s="71" t="str">
        <x:v>第2组</x:v>
      </x:c>
      <x:c r="C565" s="71" t="str">
        <x:v>ILS</x:v>
      </x:c>
      <x:c r="D565" s="71" t="str">
        <x:v>Plus／月</x:v>
      </x:c>
      <x:c r="E565" s="73" t="n">
        <x:v>24.99</x:v>
      </x:c>
      <x:c r="F565" s="71" t="str">
        <x:v>‏24.99 ₪</x:v>
      </x:c>
      <x:c r="G565" s="71" t="str">
        <x:v>ar-PS</x:v>
      </x:c>
    </x:row>
    <x:row r="566" ht="27" customHeight="1">
      <x:c r="A566" s="71" t="str">
        <x:v>巴勒斯坦</x:v>
      </x:c>
      <x:c r="B566" s="71" t="str">
        <x:v>第2组</x:v>
      </x:c>
      <x:c r="C566" s="71" t="str">
        <x:v>ILS</x:v>
      </x:c>
      <x:c r="D566" s="71" t="str">
        <x:v>新Pro／月</x:v>
      </x:c>
      <x:c r="E566" s="73" t="n">
        <x:v>18.99</x:v>
      </x:c>
      <x:c r="F566" s="71" t="str">
        <x:v>‏18.99 ₪</x:v>
      </x:c>
      <x:c r="G566" s="71" t="str">
        <x:v>ar-PS</x:v>
      </x:c>
    </x:row>
    <x:row r="567" ht="27" customHeight="1">
      <x:c r="A567" s="71" t="str">
        <x:v>巴勒斯坦</x:v>
      </x:c>
      <x:c r="B567" s="71" t="str">
        <x:v>第2组</x:v>
      </x:c>
      <x:c r="C567" s="71" t="str">
        <x:v>ILS</x:v>
      </x:c>
      <x:c r="D567" s="71" t="str">
        <x:v>Basic／年</x:v>
      </x:c>
      <x:c r="E567" s="73" t="n">
        <x:v>58.99</x:v>
      </x:c>
      <x:c r="F567" s="71" t="str">
        <x:v>‏58.99 ₪</x:v>
      </x:c>
      <x:c r="G567" s="71" t="str">
        <x:v>ar-PS</x:v>
      </x:c>
    </x:row>
    <x:row r="568" ht="27" customHeight="1">
      <x:c r="A568" s="71" t="str">
        <x:v>巴勒斯坦</x:v>
      </x:c>
      <x:c r="B568" s="71" t="str">
        <x:v>第2组</x:v>
      </x:c>
      <x:c r="C568" s="71" t="str">
        <x:v>ILS</x:v>
      </x:c>
      <x:c r="D568" s="71" t="str">
        <x:v>Plus／年</x:v>
      </x:c>
      <x:c r="E568" s="73" t="n">
        <x:v>118.99</x:v>
      </x:c>
      <x:c r="F568" s="71" t="str">
        <x:v>‏118.99 ₪</x:v>
      </x:c>
      <x:c r="G568" s="71" t="str">
        <x:v>ar-PS</x:v>
      </x:c>
    </x:row>
    <x:row r="569" ht="27" customHeight="1">
      <x:c r="A569" s="71" t="str">
        <x:v>巴勒斯坦</x:v>
      </x:c>
      <x:c r="B569" s="71" t="str">
        <x:v>第2组</x:v>
      </x:c>
      <x:c r="C569" s="71" t="str">
        <x:v>ILS</x:v>
      </x:c>
      <x:c r="D569" s="71" t="str">
        <x:v>新Pro／年</x:v>
      </x:c>
      <x:c r="E569" s="73" t="n">
        <x:v>227.88</x:v>
      </x:c>
      <x:c r="F569" s="71" t="str">
        <x:v>‏227.88 ₪</x:v>
      </x:c>
      <x:c r="G569" s="71" t="str">
        <x:v>ar-PS</x:v>
      </x:c>
    </x:row>
    <x:row r="570" ht="27" customHeight="1">
      <x:c r="A570" s="71" t="str">
        <x:v>巴勒斯坦</x:v>
      </x:c>
      <x:c r="B570" s="71" t="str">
        <x:v>第2组</x:v>
      </x:c>
      <x:c r="C570" s="71" t="str">
        <x:v>ILS</x:v>
      </x:c>
      <x:c r="D570" s="71" t="str">
        <x:v>作业包／3份</x:v>
      </x:c>
      <x:c r="E570" s="73" t="n">
        <x:v>5.99</x:v>
      </x:c>
      <x:c r="F570" s="71" t="str">
        <x:v>‏5.99 ₪</x:v>
      </x:c>
      <x:c r="G570" s="71" t="str">
        <x:v>ar-PS</x:v>
      </x:c>
    </x:row>
    <x:row r="571" ht="27" customHeight="1">
      <x:c r="A571" s="71" t="str">
        <x:v>巴勒斯坦</x:v>
      </x:c>
      <x:c r="B571" s="71" t="str">
        <x:v>第2组</x:v>
      </x:c>
      <x:c r="C571" s="71" t="str">
        <x:v>ILS</x:v>
      </x:c>
      <x:c r="D571" s="71" t="str">
        <x:v>检测包／5份</x:v>
      </x:c>
      <x:c r="E571" s="73" t="n">
        <x:v>2.99</x:v>
      </x:c>
      <x:c r="F571" s="71" t="str">
        <x:v>‏2.99 ₪</x:v>
      </x:c>
      <x:c r="G571" s="71" t="str">
        <x:v>ar-PS</x:v>
      </x:c>
    </x:row>
    <x:row r="572" ht="27" customHeight="1">
      <x:c r="A572" s="71" t="str">
        <x:v>巴勒斯坦</x:v>
      </x:c>
      <x:c r="B572" s="71" t="str">
        <x:v>第2组</x:v>
      </x:c>
      <x:c r="C572" s="71" t="str">
        <x:v>ILS</x:v>
      </x:c>
      <x:c r="D572" s="71" t="str">
        <x:v>Humanizer包／3份</x:v>
      </x:c>
      <x:c r="E572" s="73" t="n">
        <x:v>4.49</x:v>
      </x:c>
      <x:c r="F572" s="71" t="str">
        <x:v>‏4.49 ₪</x:v>
      </x:c>
      <x:c r="G572" s="71" t="str">
        <x:v>ar-PS</x:v>
      </x:c>
    </x:row>
    <x:row r="573" ht="27" customHeight="1">
      <x:c r="A573" s="71" t="str">
        <x:v>巴勒斯坦</x:v>
      </x:c>
      <x:c r="B573" s="71" t="str">
        <x:v>第2组</x:v>
      </x:c>
      <x:c r="C573" s="71" t="str">
        <x:v>ILS</x:v>
      </x:c>
      <x:c r="D573" s="71" t="str">
        <x:v>Study Pass／月</x:v>
      </x:c>
      <x:c r="E573" s="73" t="n">
        <x:v>1.8</x:v>
      </x:c>
      <x:c r="F573" s="71" t="str">
        <x:v>‏1.80 ₪</x:v>
      </x:c>
      <x:c r="G573" s="71" t="str">
        <x:v>ar-PS</x:v>
      </x:c>
    </x:row>
    <x:row r="574" ht="27" customHeight="1">
      <x:c r="A574" s="71" t="str">
        <x:v>罗马尼亚</x:v>
      </x:c>
      <x:c r="B574" s="71" t="str">
        <x:v>第2组</x:v>
      </x:c>
      <x:c r="C574" s="71" t="str">
        <x:v>RON</x:v>
      </x:c>
      <x:c r="D574" s="71" t="str">
        <x:v>Trial／7天</x:v>
      </x:c>
      <x:c r="E574" s="73" t="n">
        <x:v>6.49</x:v>
      </x:c>
      <x:c r="F574" s="71" t="str">
        <x:v>6,49 RON</x:v>
      </x:c>
      <x:c r="G574" s="71" t="str">
        <x:v>ro-RO</x:v>
      </x:c>
    </x:row>
    <x:row r="575" ht="27" customHeight="1">
      <x:c r="A575" s="71" t="str">
        <x:v>罗马尼亚</x:v>
      </x:c>
      <x:c r="B575" s="71" t="str">
        <x:v>第2组</x:v>
      </x:c>
      <x:c r="C575" s="71" t="str">
        <x:v>RON</x:v>
      </x:c>
      <x:c r="D575" s="71" t="str">
        <x:v>Basic／月</x:v>
      </x:c>
      <x:c r="E575" s="73" t="n">
        <x:v>42.99</x:v>
      </x:c>
      <x:c r="F575" s="71" t="str">
        <x:v>42,99 RON</x:v>
      </x:c>
      <x:c r="G575" s="71" t="str">
        <x:v>ro-RO</x:v>
      </x:c>
    </x:row>
    <x:row r="576" ht="27" customHeight="1">
      <x:c r="A576" s="71" t="str">
        <x:v>罗马尼亚</x:v>
      </x:c>
      <x:c r="B576" s="71" t="str">
        <x:v>第2组</x:v>
      </x:c>
      <x:c r="C576" s="71" t="str">
        <x:v>RON</x:v>
      </x:c>
      <x:c r="D576" s="71" t="str">
        <x:v>Plus／月</x:v>
      </x:c>
      <x:c r="E576" s="73" t="n">
        <x:v>84.99</x:v>
      </x:c>
      <x:c r="F576" s="71" t="str">
        <x:v>84,99 RON</x:v>
      </x:c>
      <x:c r="G576" s="71" t="str">
        <x:v>ro-RO</x:v>
      </x:c>
    </x:row>
    <x:row r="577" ht="27" customHeight="1">
      <x:c r="A577" s="71" t="str">
        <x:v>罗马尼亚</x:v>
      </x:c>
      <x:c r="B577" s="71" t="str">
        <x:v>第2组</x:v>
      </x:c>
      <x:c r="C577" s="71" t="str">
        <x:v>RON</x:v>
      </x:c>
      <x:c r="D577" s="71" t="str">
        <x:v>新Pro／月</x:v>
      </x:c>
      <x:c r="E577" s="73" t="n">
        <x:v>63.99</x:v>
      </x:c>
      <x:c r="F577" s="71" t="str">
        <x:v>63,99 RON</x:v>
      </x:c>
      <x:c r="G577" s="71" t="str">
        <x:v>ro-RO</x:v>
      </x:c>
    </x:row>
    <x:row r="578" ht="27" customHeight="1">
      <x:c r="A578" s="71" t="str">
        <x:v>罗马尼亚</x:v>
      </x:c>
      <x:c r="B578" s="71" t="str">
        <x:v>第2组</x:v>
      </x:c>
      <x:c r="C578" s="71" t="str">
        <x:v>RON</x:v>
      </x:c>
      <x:c r="D578" s="71" t="str">
        <x:v>Basic／年</x:v>
      </x:c>
      <x:c r="E578" s="73" t="n">
        <x:v>204.99</x:v>
      </x:c>
      <x:c r="F578" s="71" t="str">
        <x:v>204,99 RON</x:v>
      </x:c>
      <x:c r="G578" s="71" t="str">
        <x:v>ro-RO</x:v>
      </x:c>
    </x:row>
    <x:row r="579" ht="27" customHeight="1">
      <x:c r="A579" s="71" t="str">
        <x:v>罗马尼亚</x:v>
      </x:c>
      <x:c r="B579" s="71" t="str">
        <x:v>第2组</x:v>
      </x:c>
      <x:c r="C579" s="71" t="str">
        <x:v>RON</x:v>
      </x:c>
      <x:c r="D579" s="71" t="str">
        <x:v>Plus／年</x:v>
      </x:c>
      <x:c r="E579" s="73" t="n">
        <x:v>408.99</x:v>
      </x:c>
      <x:c r="F579" s="71" t="str">
        <x:v>408,99 RON</x:v>
      </x:c>
      <x:c r="G579" s="71" t="str">
        <x:v>ro-RO</x:v>
      </x:c>
    </x:row>
    <x:row r="580" ht="27" customHeight="1">
      <x:c r="A580" s="71" t="str">
        <x:v>罗马尼亚</x:v>
      </x:c>
      <x:c r="B580" s="71" t="str">
        <x:v>第2组</x:v>
      </x:c>
      <x:c r="C580" s="71" t="str">
        <x:v>RON</x:v>
      </x:c>
      <x:c r="D580" s="71" t="str">
        <x:v>新Pro／年</x:v>
      </x:c>
      <x:c r="E580" s="73" t="n">
        <x:v>767.88</x:v>
      </x:c>
      <x:c r="F580" s="71" t="str">
        <x:v>767,88 RON</x:v>
      </x:c>
      <x:c r="G580" s="71" t="str">
        <x:v>ro-RO</x:v>
      </x:c>
    </x:row>
    <x:row r="581" ht="27" customHeight="1">
      <x:c r="A581" s="71" t="str">
        <x:v>罗马尼亚</x:v>
      </x:c>
      <x:c r="B581" s="71" t="str">
        <x:v>第2组</x:v>
      </x:c>
      <x:c r="C581" s="71" t="str">
        <x:v>RON</x:v>
      </x:c>
      <x:c r="D581" s="71" t="str">
        <x:v>作业包／3份</x:v>
      </x:c>
      <x:c r="E581" s="73" t="n">
        <x:v>20.99</x:v>
      </x:c>
      <x:c r="F581" s="71" t="str">
        <x:v>20,99 RON</x:v>
      </x:c>
      <x:c r="G581" s="71" t="str">
        <x:v>ro-RO</x:v>
      </x:c>
    </x:row>
    <x:row r="582" ht="27" customHeight="1">
      <x:c r="A582" s="71" t="str">
        <x:v>罗马尼亚</x:v>
      </x:c>
      <x:c r="B582" s="71" t="str">
        <x:v>第2组</x:v>
      </x:c>
      <x:c r="C582" s="71" t="str">
        <x:v>RON</x:v>
      </x:c>
      <x:c r="D582" s="71" t="str">
        <x:v>检测包／5份</x:v>
      </x:c>
      <x:c r="E582" s="73" t="n">
        <x:v>10.99</x:v>
      </x:c>
      <x:c r="F582" s="71" t="str">
        <x:v>10,99 RON</x:v>
      </x:c>
      <x:c r="G582" s="71" t="str">
        <x:v>ro-RO</x:v>
      </x:c>
    </x:row>
    <x:row r="583" ht="27" customHeight="1">
      <x:c r="A583" s="71" t="str">
        <x:v>罗马尼亚</x:v>
      </x:c>
      <x:c r="B583" s="71" t="str">
        <x:v>第2组</x:v>
      </x:c>
      <x:c r="C583" s="71" t="str">
        <x:v>RON</x:v>
      </x:c>
      <x:c r="D583" s="71" t="str">
        <x:v>Humanizer包／3份</x:v>
      </x:c>
      <x:c r="E583" s="73" t="n">
        <x:v>14.99</x:v>
      </x:c>
      <x:c r="F583" s="71" t="str">
        <x:v>14,99 RON</x:v>
      </x:c>
      <x:c r="G583" s="71" t="str">
        <x:v>ro-RO</x:v>
      </x:c>
    </x:row>
    <x:row r="584" ht="27" customHeight="1">
      <x:c r="A584" s="71" t="str">
        <x:v>罗马尼亚</x:v>
      </x:c>
      <x:c r="B584" s="71" t="str">
        <x:v>第2组</x:v>
      </x:c>
      <x:c r="C584" s="71" t="str">
        <x:v>RON</x:v>
      </x:c>
      <x:c r="D584" s="71" t="str">
        <x:v>Study Pass／月</x:v>
      </x:c>
      <x:c r="E584" s="73" t="n">
        <x:v>2.9</x:v>
      </x:c>
      <x:c r="F584" s="71" t="str">
        <x:v>2,90 RON</x:v>
      </x:c>
      <x:c r="G584" s="71" t="str">
        <x:v>ro-RO</x:v>
      </x:c>
    </x:row>
    <x:row r="585" ht="27" customHeight="1">
      <x:c r="A585" s="71" t="str">
        <x:v>卢旺达</x:v>
      </x:c>
      <x:c r="B585" s="71" t="str">
        <x:v>第2组</x:v>
      </x:c>
      <x:c r="C585" s="71" t="str">
        <x:v>RWF</x:v>
      </x:c>
      <x:c r="D585" s="71" t="str">
        <x:v>Trial／7天</x:v>
      </x:c>
      <x:c r="E585" s="72" t="n">
        <x:v>889</x:v>
      </x:c>
      <x:c r="F585" s="71" t="str">
        <x:v>RF 889</x:v>
      </x:c>
      <x:c r="G585" s="71" t="str">
        <x:v>en-RW</x:v>
      </x:c>
    </x:row>
    <x:row r="586" ht="27" customHeight="1">
      <x:c r="A586" s="71" t="str">
        <x:v>卢旺达</x:v>
      </x:c>
      <x:c r="B586" s="71" t="str">
        <x:v>第2组</x:v>
      </x:c>
      <x:c r="C586" s="71" t="str">
        <x:v>RWF</x:v>
      </x:c>
      <x:c r="D586" s="71" t="str">
        <x:v>Basic／月</x:v>
      </x:c>
      <x:c r="E586" s="72" t="n">
        <x:v>5899</x:v>
      </x:c>
      <x:c r="F586" s="71" t="str">
        <x:v>RF 5,899</x:v>
      </x:c>
      <x:c r="G586" s="71" t="str">
        <x:v>en-RW</x:v>
      </x:c>
    </x:row>
    <x:row r="587" ht="27" customHeight="1">
      <x:c r="A587" s="71" t="str">
        <x:v>卢旺达</x:v>
      </x:c>
      <x:c r="B587" s="71" t="str">
        <x:v>第2组</x:v>
      </x:c>
      <x:c r="C587" s="71" t="str">
        <x:v>RWF</x:v>
      </x:c>
      <x:c r="D587" s="71" t="str">
        <x:v>Plus／月</x:v>
      </x:c>
      <x:c r="E587" s="72" t="n">
        <x:v>11900</x:v>
      </x:c>
      <x:c r="F587" s="71" t="str">
        <x:v>RF 11,900</x:v>
      </x:c>
      <x:c r="G587" s="71" t="str">
        <x:v>en-RW</x:v>
      </x:c>
    </x:row>
    <x:row r="588" ht="27" customHeight="1">
      <x:c r="A588" s="71" t="str">
        <x:v>卢旺达</x:v>
      </x:c>
      <x:c r="B588" s="71" t="str">
        <x:v>第2组</x:v>
      </x:c>
      <x:c r="C588" s="71" t="str">
        <x:v>RWF</x:v>
      </x:c>
      <x:c r="D588" s="71" t="str">
        <x:v>新Pro／月</x:v>
      </x:c>
      <x:c r="E588" s="72" t="n">
        <x:v>8899</x:v>
      </x:c>
      <x:c r="F588" s="71" t="str">
        <x:v>RF 8,899</x:v>
      </x:c>
      <x:c r="G588" s="71" t="str">
        <x:v>en-RW</x:v>
      </x:c>
    </x:row>
    <x:row r="589" ht="27" customHeight="1">
      <x:c r="A589" s="71" t="str">
        <x:v>卢旺达</x:v>
      </x:c>
      <x:c r="B589" s="71" t="str">
        <x:v>第2组</x:v>
      </x:c>
      <x:c r="C589" s="71" t="str">
        <x:v>RWF</x:v>
      </x:c>
      <x:c r="D589" s="71" t="str">
        <x:v>Basic／年</x:v>
      </x:c>
      <x:c r="E589" s="72" t="n">
        <x:v>27900</x:v>
      </x:c>
      <x:c r="F589" s="71" t="str">
        <x:v>RF 27,900</x:v>
      </x:c>
      <x:c r="G589" s="71" t="str">
        <x:v>en-RW</x:v>
      </x:c>
    </x:row>
    <x:row r="590" ht="27" customHeight="1">
      <x:c r="A590" s="71" t="str">
        <x:v>卢旺达</x:v>
      </x:c>
      <x:c r="B590" s="71" t="str">
        <x:v>第2组</x:v>
      </x:c>
      <x:c r="C590" s="71" t="str">
        <x:v>RWF</x:v>
      </x:c>
      <x:c r="D590" s="71" t="str">
        <x:v>Plus／年</x:v>
      </x:c>
      <x:c r="E590" s="72" t="n">
        <x:v>56900</x:v>
      </x:c>
      <x:c r="F590" s="71" t="str">
        <x:v>RF 56,900</x:v>
      </x:c>
      <x:c r="G590" s="71" t="str">
        <x:v>en-RW</x:v>
      </x:c>
    </x:row>
    <x:row r="591" ht="27" customHeight="1">
      <x:c r="A591" s="71" t="str">
        <x:v>卢旺达</x:v>
      </x:c>
      <x:c r="B591" s="71" t="str">
        <x:v>第2组</x:v>
      </x:c>
      <x:c r="C591" s="71" t="str">
        <x:v>RWF</x:v>
      </x:c>
      <x:c r="D591" s="71" t="str">
        <x:v>新Pro／年</x:v>
      </x:c>
      <x:c r="E591" s="72" t="n">
        <x:v>106788</x:v>
      </x:c>
      <x:c r="F591" s="71" t="str">
        <x:v>RF 106,788</x:v>
      </x:c>
      <x:c r="G591" s="71" t="str">
        <x:v>en-RW</x:v>
      </x:c>
    </x:row>
    <x:row r="592" ht="27" customHeight="1">
      <x:c r="A592" s="71" t="str">
        <x:v>卢旺达</x:v>
      </x:c>
      <x:c r="B592" s="71" t="str">
        <x:v>第2组</x:v>
      </x:c>
      <x:c r="C592" s="71" t="str">
        <x:v>RWF</x:v>
      </x:c>
      <x:c r="D592" s="71" t="str">
        <x:v>作业包／3份</x:v>
      </x:c>
      <x:c r="E592" s="72" t="n">
        <x:v>2999</x:v>
      </x:c>
      <x:c r="F592" s="71" t="str">
        <x:v>RF 2,999</x:v>
      </x:c>
      <x:c r="G592" s="71" t="str">
        <x:v>en-RW</x:v>
      </x:c>
    </x:row>
    <x:row r="593" ht="27" customHeight="1">
      <x:c r="A593" s="71" t="str">
        <x:v>卢旺达</x:v>
      </x:c>
      <x:c r="B593" s="71" t="str">
        <x:v>第2组</x:v>
      </x:c>
      <x:c r="C593" s="71" t="str">
        <x:v>RWF</x:v>
      </x:c>
      <x:c r="D593" s="71" t="str">
        <x:v>检测包／5份</x:v>
      </x:c>
      <x:c r="E593" s="72" t="n">
        <x:v>1499</x:v>
      </x:c>
      <x:c r="F593" s="71" t="str">
        <x:v>RF 1,499</x:v>
      </x:c>
      <x:c r="G593" s="71" t="str">
        <x:v>en-RW</x:v>
      </x:c>
    </x:row>
    <x:row r="594" ht="27" customHeight="1">
      <x:c r="A594" s="71" t="str">
        <x:v>卢旺达</x:v>
      </x:c>
      <x:c r="B594" s="71" t="str">
        <x:v>第2组</x:v>
      </x:c>
      <x:c r="C594" s="71" t="str">
        <x:v>RWF</x:v>
      </x:c>
      <x:c r="D594" s="71" t="str">
        <x:v>Humanizer包／3份</x:v>
      </x:c>
      <x:c r="E594" s="72" t="n">
        <x:v>2099</x:v>
      </x:c>
      <x:c r="F594" s="71" t="str">
        <x:v>RF 2,099</x:v>
      </x:c>
      <x:c r="G594" s="71" t="str">
        <x:v>en-RW</x:v>
      </x:c>
    </x:row>
    <x:row r="595" ht="27" customHeight="1">
      <x:c r="A595" s="71" t="str">
        <x:v>卢旺达</x:v>
      </x:c>
      <x:c r="B595" s="71" t="str">
        <x:v>第2组</x:v>
      </x:c>
      <x:c r="C595" s="71" t="str">
        <x:v>RWF</x:v>
      </x:c>
      <x:c r="D595" s="71" t="str">
        <x:v>Study Pass／月</x:v>
      </x:c>
      <x:c r="E595" s="72" t="n">
        <x:v>890</x:v>
      </x:c>
      <x:c r="F595" s="71" t="str">
        <x:v>RF 890</x:v>
      </x:c>
      <x:c r="G595" s="71" t="str">
        <x:v>en-RW</x:v>
      </x:c>
    </x:row>
    <x:row r="596" ht="27" customHeight="1">
      <x:c r="A596" s="71" t="str">
        <x:v>沙特阿拉伯</x:v>
      </x:c>
      <x:c r="B596" s="71" t="str">
        <x:v>第2组</x:v>
      </x:c>
      <x:c r="C596" s="71" t="str">
        <x:v>SAR</x:v>
      </x:c>
      <x:c r="D596" s="71" t="str">
        <x:v>Trial／7天</x:v>
      </x:c>
      <x:c r="E596" s="73" t="n">
        <x:v>6.49</x:v>
      </x:c>
      <x:c r="F596" s="71" t="str">
        <x:v>‏6.49 ر.س.‏</x:v>
      </x:c>
      <x:c r="G596" s="71" t="str">
        <x:v>ar-SA</x:v>
      </x:c>
    </x:row>
    <x:row r="597" ht="27" customHeight="1">
      <x:c r="A597" s="71" t="str">
        <x:v>沙特阿拉伯</x:v>
      </x:c>
      <x:c r="B597" s="71" t="str">
        <x:v>第2组</x:v>
      </x:c>
      <x:c r="C597" s="71" t="str">
        <x:v>SAR</x:v>
      </x:c>
      <x:c r="D597" s="71" t="str">
        <x:v>Basic／月</x:v>
      </x:c>
      <x:c r="E597" s="73" t="n">
        <x:v>44.99</x:v>
      </x:c>
      <x:c r="F597" s="71" t="str">
        <x:v>‏44.99 ر.س.‏</x:v>
      </x:c>
      <x:c r="G597" s="71" t="str">
        <x:v>ar-SA</x:v>
      </x:c>
    </x:row>
    <x:row r="598" ht="27" customHeight="1">
      <x:c r="A598" s="71" t="str">
        <x:v>沙特阿拉伯</x:v>
      </x:c>
      <x:c r="B598" s="71" t="str">
        <x:v>第2组</x:v>
      </x:c>
      <x:c r="C598" s="71" t="str">
        <x:v>SAR</x:v>
      </x:c>
      <x:c r="D598" s="71" t="str">
        <x:v>Plus／月</x:v>
      </x:c>
      <x:c r="E598" s="73" t="n">
        <x:v>89.99</x:v>
      </x:c>
      <x:c r="F598" s="71" t="str">
        <x:v>‏89.99 ر.س.‏</x:v>
      </x:c>
      <x:c r="G598" s="71" t="str">
        <x:v>ar-SA</x:v>
      </x:c>
    </x:row>
    <x:row r="599" ht="27" customHeight="1">
      <x:c r="A599" s="71" t="str">
        <x:v>沙特阿拉伯</x:v>
      </x:c>
      <x:c r="B599" s="71" t="str">
        <x:v>第2组</x:v>
      </x:c>
      <x:c r="C599" s="71" t="str">
        <x:v>SAR</x:v>
      </x:c>
      <x:c r="D599" s="71" t="str">
        <x:v>新Pro／月</x:v>
      </x:c>
      <x:c r="E599" s="73" t="n">
        <x:v>66.99</x:v>
      </x:c>
      <x:c r="F599" s="71" t="str">
        <x:v>‏66.99 ر.س.‏</x:v>
      </x:c>
      <x:c r="G599" s="71" t="str">
        <x:v>ar-SA</x:v>
      </x:c>
    </x:row>
    <x:row r="600" ht="27" customHeight="1">
      <x:c r="A600" s="71" t="str">
        <x:v>沙特阿拉伯</x:v>
      </x:c>
      <x:c r="B600" s="71" t="str">
        <x:v>第2组</x:v>
      </x:c>
      <x:c r="C600" s="71" t="str">
        <x:v>SAR</x:v>
      </x:c>
      <x:c r="D600" s="71" t="str">
        <x:v>Basic／年</x:v>
      </x:c>
      <x:c r="E600" s="73" t="n">
        <x:v>215.99</x:v>
      </x:c>
      <x:c r="F600" s="71" t="str">
        <x:v>‏215.99 ر.س.‏</x:v>
      </x:c>
      <x:c r="G600" s="71" t="str">
        <x:v>ar-SA</x:v>
      </x:c>
    </x:row>
    <x:row r="601" ht="27" customHeight="1">
      <x:c r="A601" s="71" t="str">
        <x:v>沙特阿拉伯</x:v>
      </x:c>
      <x:c r="B601" s="71" t="str">
        <x:v>第2组</x:v>
      </x:c>
      <x:c r="C601" s="71" t="str">
        <x:v>SAR</x:v>
      </x:c>
      <x:c r="D601" s="71" t="str">
        <x:v>Plus／年</x:v>
      </x:c>
      <x:c r="E601" s="73" t="n">
        <x:v>431.99</x:v>
      </x:c>
      <x:c r="F601" s="71" t="str">
        <x:v>‏431.99 ر.س.‏</x:v>
      </x:c>
      <x:c r="G601" s="71" t="str">
        <x:v>ar-SA</x:v>
      </x:c>
    </x:row>
    <x:row r="602" ht="27" customHeight="1">
      <x:c r="A602" s="71" t="str">
        <x:v>沙特阿拉伯</x:v>
      </x:c>
      <x:c r="B602" s="71" t="str">
        <x:v>第2组</x:v>
      </x:c>
      <x:c r="C602" s="71" t="str">
        <x:v>SAR</x:v>
      </x:c>
      <x:c r="D602" s="71" t="str">
        <x:v>新Pro／年</x:v>
      </x:c>
      <x:c r="E602" s="73" t="n">
        <x:v>803.88</x:v>
      </x:c>
      <x:c r="F602" s="71" t="str">
        <x:v>‏803.88 ر.س.‏</x:v>
      </x:c>
      <x:c r="G602" s="71" t="str">
        <x:v>ar-SA</x:v>
      </x:c>
    </x:row>
    <x:row r="603" ht="27" customHeight="1">
      <x:c r="A603" s="71" t="str">
        <x:v>沙特阿拉伯</x:v>
      </x:c>
      <x:c r="B603" s="71" t="str">
        <x:v>第2组</x:v>
      </x:c>
      <x:c r="C603" s="71" t="str">
        <x:v>SAR</x:v>
      </x:c>
      <x:c r="D603" s="71" t="str">
        <x:v>作业包／3份</x:v>
      </x:c>
      <x:c r="E603" s="73" t="n">
        <x:v>21.99</x:v>
      </x:c>
      <x:c r="F603" s="71" t="str">
        <x:v>‏21.99 ر.س.‏</x:v>
      </x:c>
      <x:c r="G603" s="71" t="str">
        <x:v>ar-SA</x:v>
      </x:c>
    </x:row>
    <x:row r="604" ht="27" customHeight="1">
      <x:c r="A604" s="71" t="str">
        <x:v>沙特阿拉伯</x:v>
      </x:c>
      <x:c r="B604" s="71" t="str">
        <x:v>第2组</x:v>
      </x:c>
      <x:c r="C604" s="71" t="str">
        <x:v>SAR</x:v>
      </x:c>
      <x:c r="D604" s="71" t="str">
        <x:v>检测包／5份</x:v>
      </x:c>
      <x:c r="E604" s="73" t="n">
        <x:v>10.99</x:v>
      </x:c>
      <x:c r="F604" s="71" t="str">
        <x:v>‏10.99 ر.س.‏</x:v>
      </x:c>
      <x:c r="G604" s="71" t="str">
        <x:v>ar-SA</x:v>
      </x:c>
    </x:row>
    <x:row r="605" ht="27" customHeight="1">
      <x:c r="A605" s="71" t="str">
        <x:v>沙特阿拉伯</x:v>
      </x:c>
      <x:c r="B605" s="71" t="str">
        <x:v>第2组</x:v>
      </x:c>
      <x:c r="C605" s="71" t="str">
        <x:v>SAR</x:v>
      </x:c>
      <x:c r="D605" s="71" t="str">
        <x:v>Humanizer包／3份</x:v>
      </x:c>
      <x:c r="E605" s="73" t="n">
        <x:v>15.99</x:v>
      </x:c>
      <x:c r="F605" s="71" t="str">
        <x:v>‏15.99 ر.س.‏</x:v>
      </x:c>
      <x:c r="G605" s="71" t="str">
        <x:v>ar-SA</x:v>
      </x:c>
    </x:row>
    <x:row r="606" ht="27" customHeight="1">
      <x:c r="A606" s="71" t="str">
        <x:v>沙特阿拉伯</x:v>
      </x:c>
      <x:c r="B606" s="71" t="str">
        <x:v>第2组</x:v>
      </x:c>
      <x:c r="C606" s="71" t="str">
        <x:v>SAR</x:v>
      </x:c>
      <x:c r="D606" s="71" t="str">
        <x:v>Study Pass／月</x:v>
      </x:c>
      <x:c r="E606" s="73" t="n">
        <x:v>2.3</x:v>
      </x:c>
      <x:c r="F606" s="71" t="str">
        <x:v>‏2.30 ر.س.‏</x:v>
      </x:c>
      <x:c r="G606" s="71" t="str">
        <x:v>ar-SA</x:v>
      </x:c>
    </x:row>
    <x:row r="607" ht="27" customHeight="1">
      <x:c r="A607" s="71" t="str">
        <x:v>乌拉圭</x:v>
      </x:c>
      <x:c r="B607" s="71" t="str">
        <x:v>第2组</x:v>
      </x:c>
      <x:c r="C607" s="71" t="str">
        <x:v>UYU</x:v>
      </x:c>
      <x:c r="D607" s="71" t="str">
        <x:v>Trial／7天</x:v>
      </x:c>
      <x:c r="E607" s="72" t="n">
        <x:v>69</x:v>
      </x:c>
      <x:c r="F607" s="71" t="str">
        <x:v>$ 69</x:v>
      </x:c>
      <x:c r="G607" s="71" t="str">
        <x:v>es-UY</x:v>
      </x:c>
    </x:row>
    <x:row r="608" ht="27" customHeight="1">
      <x:c r="A608" s="71" t="str">
        <x:v>乌拉圭</x:v>
      </x:c>
      <x:c r="B608" s="71" t="str">
        <x:v>第2组</x:v>
      </x:c>
      <x:c r="C608" s="71" t="str">
        <x:v>UYU</x:v>
      </x:c>
      <x:c r="D608" s="71" t="str">
        <x:v>Basic／月</x:v>
      </x:c>
      <x:c r="E608" s="72" t="n">
        <x:v>479</x:v>
      </x:c>
      <x:c r="F608" s="71" t="str">
        <x:v>$ 479</x:v>
      </x:c>
      <x:c r="G608" s="71" t="str">
        <x:v>es-UY</x:v>
      </x:c>
    </x:row>
    <x:row r="609" ht="27" customHeight="1">
      <x:c r="A609" s="71" t="str">
        <x:v>乌拉圭</x:v>
      </x:c>
      <x:c r="B609" s="71" t="str">
        <x:v>第2组</x:v>
      </x:c>
      <x:c r="C609" s="71" t="str">
        <x:v>UYU</x:v>
      </x:c>
      <x:c r="D609" s="71" t="str">
        <x:v>Plus／月</x:v>
      </x:c>
      <x:c r="E609" s="72" t="n">
        <x:v>969</x:v>
      </x:c>
      <x:c r="F609" s="71" t="str">
        <x:v>$ 969</x:v>
      </x:c>
      <x:c r="G609" s="71" t="str">
        <x:v>es-UY</x:v>
      </x:c>
    </x:row>
    <x:row r="610" ht="27" customHeight="1">
      <x:c r="A610" s="71" t="str">
        <x:v>乌拉圭</x:v>
      </x:c>
      <x:c r="B610" s="71" t="str">
        <x:v>第2组</x:v>
      </x:c>
      <x:c r="C610" s="71" t="str">
        <x:v>UYU</x:v>
      </x:c>
      <x:c r="D610" s="71" t="str">
        <x:v>新Pro／月</x:v>
      </x:c>
      <x:c r="E610" s="72" t="n">
        <x:v>719</x:v>
      </x:c>
      <x:c r="F610" s="71" t="str">
        <x:v>$ 719</x:v>
      </x:c>
      <x:c r="G610" s="71" t="str">
        <x:v>es-UY</x:v>
      </x:c>
    </x:row>
    <x:row r="611" ht="27" customHeight="1">
      <x:c r="A611" s="71" t="str">
        <x:v>乌拉圭</x:v>
      </x:c>
      <x:c r="B611" s="71" t="str">
        <x:v>第2组</x:v>
      </x:c>
      <x:c r="C611" s="71" t="str">
        <x:v>UYU</x:v>
      </x:c>
      <x:c r="D611" s="71" t="str">
        <x:v>Basic／年</x:v>
      </x:c>
      <x:c r="E611" s="72" t="n">
        <x:v>2299</x:v>
      </x:c>
      <x:c r="F611" s="71" t="str">
        <x:v>$ 2.299</x:v>
      </x:c>
      <x:c r="G611" s="71" t="str">
        <x:v>es-UY</x:v>
      </x:c>
    </x:row>
    <x:row r="612" ht="27" customHeight="1">
      <x:c r="A612" s="71" t="str">
        <x:v>乌拉圭</x:v>
      </x:c>
      <x:c r="B612" s="71" t="str">
        <x:v>第2组</x:v>
      </x:c>
      <x:c r="C612" s="71" t="str">
        <x:v>UYU</x:v>
      </x:c>
      <x:c r="D612" s="71" t="str">
        <x:v>Plus／年</x:v>
      </x:c>
      <x:c r="E612" s="72" t="n">
        <x:v>4599</x:v>
      </x:c>
      <x:c r="F612" s="71" t="str">
        <x:v>$ 4.599</x:v>
      </x:c>
      <x:c r="G612" s="71" t="str">
        <x:v>es-UY</x:v>
      </x:c>
    </x:row>
    <x:row r="613" ht="27" customHeight="1">
      <x:c r="A613" s="71" t="str">
        <x:v>乌拉圭</x:v>
      </x:c>
      <x:c r="B613" s="71" t="str">
        <x:v>第2组</x:v>
      </x:c>
      <x:c r="C613" s="71" t="str">
        <x:v>UYU</x:v>
      </x:c>
      <x:c r="D613" s="71" t="str">
        <x:v>新Pro／年</x:v>
      </x:c>
      <x:c r="E613" s="72" t="n">
        <x:v>8628</x:v>
      </x:c>
      <x:c r="F613" s="71" t="str">
        <x:v>$ 8.628</x:v>
      </x:c>
      <x:c r="G613" s="71" t="str">
        <x:v>es-UY</x:v>
      </x:c>
    </x:row>
    <x:row r="614" ht="27" customHeight="1">
      <x:c r="A614" s="71" t="str">
        <x:v>乌拉圭</x:v>
      </x:c>
      <x:c r="B614" s="71" t="str">
        <x:v>第2组</x:v>
      </x:c>
      <x:c r="C614" s="71" t="str">
        <x:v>UYU</x:v>
      </x:c>
      <x:c r="D614" s="71" t="str">
        <x:v>作业包／3份</x:v>
      </x:c>
      <x:c r="E614" s="72" t="n">
        <x:v>239</x:v>
      </x:c>
      <x:c r="F614" s="71" t="str">
        <x:v>$ 239</x:v>
      </x:c>
      <x:c r="G614" s="71" t="str">
        <x:v>es-UY</x:v>
      </x:c>
    </x:row>
    <x:row r="615" ht="27" customHeight="1">
      <x:c r="A615" s="71" t="str">
        <x:v>乌拉圭</x:v>
      </x:c>
      <x:c r="B615" s="71" t="str">
        <x:v>第2组</x:v>
      </x:c>
      <x:c r="C615" s="71" t="str">
        <x:v>UYU</x:v>
      </x:c>
      <x:c r="D615" s="71" t="str">
        <x:v>检测包／5份</x:v>
      </x:c>
      <x:c r="E615" s="72" t="n">
        <x:v>119</x:v>
      </x:c>
      <x:c r="F615" s="71" t="str">
        <x:v>$ 119</x:v>
      </x:c>
      <x:c r="G615" s="71" t="str">
        <x:v>es-UY</x:v>
      </x:c>
    </x:row>
    <x:row r="616" ht="27" customHeight="1">
      <x:c r="A616" s="71" t="str">
        <x:v>乌拉圭</x:v>
      </x:c>
      <x:c r="B616" s="71" t="str">
        <x:v>第2组</x:v>
      </x:c>
      <x:c r="C616" s="71" t="str">
        <x:v>UYU</x:v>
      </x:c>
      <x:c r="D616" s="71" t="str">
        <x:v>Humanizer包／3份</x:v>
      </x:c>
      <x:c r="E616" s="72" t="n">
        <x:v>169</x:v>
      </x:c>
      <x:c r="F616" s="71" t="str">
        <x:v>$ 169</x:v>
      </x:c>
      <x:c r="G616" s="71" t="str">
        <x:v>es-UY</x:v>
      </x:c>
    </x:row>
    <x:row r="617" ht="27" customHeight="1">
      <x:c r="A617" s="71" t="str">
        <x:v>乌拉圭</x:v>
      </x:c>
      <x:c r="B617" s="71" t="str">
        <x:v>第2组</x:v>
      </x:c>
      <x:c r="C617" s="71" t="str">
        <x:v>UYU</x:v>
      </x:c>
      <x:c r="D617" s="71" t="str">
        <x:v>Study Pass／月</x:v>
      </x:c>
      <x:c r="E617" s="72" t="n">
        <x:v>24</x:v>
      </x:c>
      <x:c r="F617" s="71" t="str">
        <x:v>$ 24</x:v>
      </x:c>
      <x:c r="G617" s="71" t="str">
        <x:v>es-UY</x:v>
      </x:c>
    </x:row>
    <x:row r="618" ht="27" customHeight="1">
      <x:c r="A618" s="71" t="str">
        <x:v>阿塞拜疆</x:v>
      </x:c>
      <x:c r="B618" s="71" t="str">
        <x:v>第2组</x:v>
      </x:c>
      <x:c r="C618" s="71" t="str">
        <x:v>AZN</x:v>
      </x:c>
      <x:c r="D618" s="71" t="str">
        <x:v>Trial／7天</x:v>
      </x:c>
      <x:c r="E618" s="73" t="n">
        <x:v>1.49</x:v>
      </x:c>
      <x:c r="F618" s="71" t="str">
        <x:v>1,49 ₼</x:v>
      </x:c>
      <x:c r="G618" s="71" t="str">
        <x:v>az-AZ</x:v>
      </x:c>
    </x:row>
    <x:row r="619" ht="27" customHeight="1">
      <x:c r="A619" s="71" t="str">
        <x:v>阿塞拜疆</x:v>
      </x:c>
      <x:c r="B619" s="71" t="str">
        <x:v>第2组</x:v>
      </x:c>
      <x:c r="C619" s="71" t="str">
        <x:v>AZN</x:v>
      </x:c>
      <x:c r="D619" s="71" t="str">
        <x:v>Basic／月</x:v>
      </x:c>
      <x:c r="E619" s="73" t="n">
        <x:v>9.99</x:v>
      </x:c>
      <x:c r="F619" s="71" t="str">
        <x:v>9,99 ₼</x:v>
      </x:c>
      <x:c r="G619" s="71" t="str">
        <x:v>az-AZ</x:v>
      </x:c>
    </x:row>
    <x:row r="620" ht="27" customHeight="1">
      <x:c r="A620" s="71" t="str">
        <x:v>阿塞拜疆</x:v>
      </x:c>
      <x:c r="B620" s="71" t="str">
        <x:v>第2组</x:v>
      </x:c>
      <x:c r="C620" s="71" t="str">
        <x:v>AZN</x:v>
      </x:c>
      <x:c r="D620" s="71" t="str">
        <x:v>Plus／月</x:v>
      </x:c>
      <x:c r="E620" s="73" t="n">
        <x:v>19.99</x:v>
      </x:c>
      <x:c r="F620" s="71" t="str">
        <x:v>19,99 ₼</x:v>
      </x:c>
      <x:c r="G620" s="71" t="str">
        <x:v>az-AZ</x:v>
      </x:c>
    </x:row>
    <x:row r="621" ht="27" customHeight="1">
      <x:c r="A621" s="71" t="str">
        <x:v>阿塞拜疆</x:v>
      </x:c>
      <x:c r="B621" s="71" t="str">
        <x:v>第2组</x:v>
      </x:c>
      <x:c r="C621" s="71" t="str">
        <x:v>AZN</x:v>
      </x:c>
      <x:c r="D621" s="71" t="str">
        <x:v>新Pro／月</x:v>
      </x:c>
      <x:c r="E621" s="73" t="n">
        <x:v>14.99</x:v>
      </x:c>
      <x:c r="F621" s="71" t="str">
        <x:v>14,99 ₼</x:v>
      </x:c>
      <x:c r="G621" s="71" t="str">
        <x:v>az-AZ</x:v>
      </x:c>
    </x:row>
    <x:row r="622" ht="27" customHeight="1">
      <x:c r="A622" s="71" t="str">
        <x:v>阿塞拜疆</x:v>
      </x:c>
      <x:c r="B622" s="71" t="str">
        <x:v>第2组</x:v>
      </x:c>
      <x:c r="C622" s="71" t="str">
        <x:v>AZN</x:v>
      </x:c>
      <x:c r="D622" s="71" t="str">
        <x:v>Basic／年</x:v>
      </x:c>
      <x:c r="E622" s="73" t="n">
        <x:v>48.99</x:v>
      </x:c>
      <x:c r="F622" s="71" t="str">
        <x:v>48,99 ₼</x:v>
      </x:c>
      <x:c r="G622" s="71" t="str">
        <x:v>az-AZ</x:v>
      </x:c>
    </x:row>
    <x:row r="623" ht="27" customHeight="1">
      <x:c r="A623" s="71" t="str">
        <x:v>阿塞拜疆</x:v>
      </x:c>
      <x:c r="B623" s="71" t="str">
        <x:v>第2组</x:v>
      </x:c>
      <x:c r="C623" s="71" t="str">
        <x:v>AZN</x:v>
      </x:c>
      <x:c r="D623" s="71" t="str">
        <x:v>Plus／年</x:v>
      </x:c>
      <x:c r="E623" s="73" t="n">
        <x:v>97.99</x:v>
      </x:c>
      <x:c r="F623" s="71" t="str">
        <x:v>97,99 ₼</x:v>
      </x:c>
      <x:c r="G623" s="71" t="str">
        <x:v>az-AZ</x:v>
      </x:c>
    </x:row>
    <x:row r="624" ht="27" customHeight="1">
      <x:c r="A624" s="71" t="str">
        <x:v>阿塞拜疆</x:v>
      </x:c>
      <x:c r="B624" s="71" t="str">
        <x:v>第2组</x:v>
      </x:c>
      <x:c r="C624" s="71" t="str">
        <x:v>AZN</x:v>
      </x:c>
      <x:c r="D624" s="71" t="str">
        <x:v>新Pro／年</x:v>
      </x:c>
      <x:c r="E624" s="73" t="n">
        <x:v>179.88</x:v>
      </x:c>
      <x:c r="F624" s="71" t="str">
        <x:v>179,88 ₼</x:v>
      </x:c>
      <x:c r="G624" s="71" t="str">
        <x:v>az-AZ</x:v>
      </x:c>
    </x:row>
    <x:row r="625" ht="27" customHeight="1">
      <x:c r="A625" s="71" t="str">
        <x:v>阿塞拜疆</x:v>
      </x:c>
      <x:c r="B625" s="71" t="str">
        <x:v>第2组</x:v>
      </x:c>
      <x:c r="C625" s="71" t="str">
        <x:v>AZN</x:v>
      </x:c>
      <x:c r="D625" s="71" t="str">
        <x:v>作业包／3份</x:v>
      </x:c>
      <x:c r="E625" s="73" t="n">
        <x:v>4.99</x:v>
      </x:c>
      <x:c r="F625" s="71" t="str">
        <x:v>4,99 ₼</x:v>
      </x:c>
      <x:c r="G625" s="71" t="str">
        <x:v>az-AZ</x:v>
      </x:c>
    </x:row>
    <x:row r="626" ht="27" customHeight="1">
      <x:c r="A626" s="71" t="str">
        <x:v>阿塞拜疆</x:v>
      </x:c>
      <x:c r="B626" s="71" t="str">
        <x:v>第2组</x:v>
      </x:c>
      <x:c r="C626" s="71" t="str">
        <x:v>AZN</x:v>
      </x:c>
      <x:c r="D626" s="71" t="str">
        <x:v>检测包／5份</x:v>
      </x:c>
      <x:c r="E626" s="73" t="n">
        <x:v>2.49</x:v>
      </x:c>
      <x:c r="F626" s="71" t="str">
        <x:v>2,49 ₼</x:v>
      </x:c>
      <x:c r="G626" s="71" t="str">
        <x:v>az-AZ</x:v>
      </x:c>
    </x:row>
    <x:row r="627" ht="27" customHeight="1">
      <x:c r="A627" s="71" t="str">
        <x:v>阿塞拜疆</x:v>
      </x:c>
      <x:c r="B627" s="71" t="str">
        <x:v>第2组</x:v>
      </x:c>
      <x:c r="C627" s="71" t="str">
        <x:v>AZN</x:v>
      </x:c>
      <x:c r="D627" s="71" t="str">
        <x:v>Humanizer包／3份</x:v>
      </x:c>
      <x:c r="E627" s="73" t="n">
        <x:v>3.49</x:v>
      </x:c>
      <x:c r="F627" s="71" t="str">
        <x:v>3,49 ₼</x:v>
      </x:c>
      <x:c r="G627" s="71" t="str">
        <x:v>az-AZ</x:v>
      </x:c>
    </x:row>
    <x:row r="628" ht="27" customHeight="1">
      <x:c r="A628" s="71" t="str">
        <x:v>阿塞拜疆</x:v>
      </x:c>
      <x:c r="B628" s="71" t="str">
        <x:v>第2组</x:v>
      </x:c>
      <x:c r="C628" s="71" t="str">
        <x:v>AZN</x:v>
      </x:c>
      <x:c r="D628" s="71" t="str">
        <x:v>Study Pass／月</x:v>
      </x:c>
      <x:c r="E628" s="72" t="n">
        <x:v>1</x:v>
      </x:c>
      <x:c r="F628" s="71" t="str">
        <x:v>1 ₼</x:v>
      </x:c>
      <x:c r="G628" s="71" t="str">
        <x:v>az-AZ</x:v>
      </x:c>
    </x:row>
    <x:row r="629" ht="27" customHeight="1">
      <x:c r="A629" s="71" t="str">
        <x:v>巴哈马</x:v>
      </x:c>
      <x:c r="B629" s="71" t="str">
        <x:v>第2组</x:v>
      </x:c>
      <x:c r="C629" s="71" t="str">
        <x:v>BSD</x:v>
      </x:c>
      <x:c r="D629" s="71" t="str">
        <x:v>Trial／7天</x:v>
      </x:c>
      <x:c r="E629" s="73" t="n">
        <x:v>2.49</x:v>
      </x:c>
      <x:c r="F629" s="71" t="str">
        <x:v>$2.49</x:v>
      </x:c>
      <x:c r="G629" s="71" t="str">
        <x:v>en-BS</x:v>
      </x:c>
    </x:row>
    <x:row r="630" ht="27" customHeight="1">
      <x:c r="A630" s="71" t="str">
        <x:v>巴哈马</x:v>
      </x:c>
      <x:c r="B630" s="71" t="str">
        <x:v>第2组</x:v>
      </x:c>
      <x:c r="C630" s="71" t="str">
        <x:v>BSD</x:v>
      </x:c>
      <x:c r="D630" s="71" t="str">
        <x:v>Basic／月</x:v>
      </x:c>
      <x:c r="E630" s="73" t="n">
        <x:v>16.99</x:v>
      </x:c>
      <x:c r="F630" s="71" t="str">
        <x:v>$16.99</x:v>
      </x:c>
      <x:c r="G630" s="71" t="str">
        <x:v>en-BS</x:v>
      </x:c>
    </x:row>
    <x:row r="631" ht="27" customHeight="1">
      <x:c r="A631" s="71" t="str">
        <x:v>巴哈马</x:v>
      </x:c>
      <x:c r="B631" s="71" t="str">
        <x:v>第2组</x:v>
      </x:c>
      <x:c r="C631" s="71" t="str">
        <x:v>BSD</x:v>
      </x:c>
      <x:c r="D631" s="71" t="str">
        <x:v>Plus／月</x:v>
      </x:c>
      <x:c r="E631" s="73" t="n">
        <x:v>33.99</x:v>
      </x:c>
      <x:c r="F631" s="71" t="str">
        <x:v>$33.99</x:v>
      </x:c>
      <x:c r="G631" s="71" t="str">
        <x:v>en-BS</x:v>
      </x:c>
    </x:row>
    <x:row r="632" ht="27" customHeight="1">
      <x:c r="A632" s="71" t="str">
        <x:v>巴哈马</x:v>
      </x:c>
      <x:c r="B632" s="71" t="str">
        <x:v>第2组</x:v>
      </x:c>
      <x:c r="C632" s="71" t="str">
        <x:v>BSD</x:v>
      </x:c>
      <x:c r="D632" s="71" t="str">
        <x:v>新Pro／月</x:v>
      </x:c>
      <x:c r="E632" s="73" t="n">
        <x:v>25.99</x:v>
      </x:c>
      <x:c r="F632" s="71" t="str">
        <x:v>$25.99</x:v>
      </x:c>
      <x:c r="G632" s="71" t="str">
        <x:v>en-BS</x:v>
      </x:c>
    </x:row>
    <x:row r="633" ht="27" customHeight="1">
      <x:c r="A633" s="71" t="str">
        <x:v>巴哈马</x:v>
      </x:c>
      <x:c r="B633" s="71" t="str">
        <x:v>第2组</x:v>
      </x:c>
      <x:c r="C633" s="71" t="str">
        <x:v>BSD</x:v>
      </x:c>
      <x:c r="D633" s="71" t="str">
        <x:v>Basic／年</x:v>
      </x:c>
      <x:c r="E633" s="73" t="n">
        <x:v>81.99</x:v>
      </x:c>
      <x:c r="F633" s="71" t="str">
        <x:v>$81.99</x:v>
      </x:c>
      <x:c r="G633" s="71" t="str">
        <x:v>en-BS</x:v>
      </x:c>
    </x:row>
    <x:row r="634" ht="27" customHeight="1">
      <x:c r="A634" s="71" t="str">
        <x:v>巴哈马</x:v>
      </x:c>
      <x:c r="B634" s="71" t="str">
        <x:v>第2组</x:v>
      </x:c>
      <x:c r="C634" s="71" t="str">
        <x:v>BSD</x:v>
      </x:c>
      <x:c r="D634" s="71" t="str">
        <x:v>Plus／年</x:v>
      </x:c>
      <x:c r="E634" s="73" t="n">
        <x:v>162.99</x:v>
      </x:c>
      <x:c r="F634" s="71" t="str">
        <x:v>$162.99</x:v>
      </x:c>
      <x:c r="G634" s="71" t="str">
        <x:v>en-BS</x:v>
      </x:c>
    </x:row>
    <x:row r="635" ht="27" customHeight="1">
      <x:c r="A635" s="71" t="str">
        <x:v>巴哈马</x:v>
      </x:c>
      <x:c r="B635" s="71" t="str">
        <x:v>第2组</x:v>
      </x:c>
      <x:c r="C635" s="71" t="str">
        <x:v>BSD</x:v>
      </x:c>
      <x:c r="D635" s="71" t="str">
        <x:v>新Pro／年</x:v>
      </x:c>
      <x:c r="E635" s="73" t="n">
        <x:v>311.88</x:v>
      </x:c>
      <x:c r="F635" s="71" t="str">
        <x:v>$311.88</x:v>
      </x:c>
      <x:c r="G635" s="71" t="str">
        <x:v>en-BS</x:v>
      </x:c>
    </x:row>
    <x:row r="636" ht="27" customHeight="1">
      <x:c r="A636" s="71" t="str">
        <x:v>巴哈马</x:v>
      </x:c>
      <x:c r="B636" s="71" t="str">
        <x:v>第2组</x:v>
      </x:c>
      <x:c r="C636" s="71" t="str">
        <x:v>BSD</x:v>
      </x:c>
      <x:c r="D636" s="71" t="str">
        <x:v>作业包／3份</x:v>
      </x:c>
      <x:c r="E636" s="73" t="n">
        <x:v>8.49</x:v>
      </x:c>
      <x:c r="F636" s="71" t="str">
        <x:v>$8.49</x:v>
      </x:c>
      <x:c r="G636" s="71" t="str">
        <x:v>en-BS</x:v>
      </x:c>
    </x:row>
    <x:row r="637" ht="27" customHeight="1">
      <x:c r="A637" s="71" t="str">
        <x:v>巴哈马</x:v>
      </x:c>
      <x:c r="B637" s="71" t="str">
        <x:v>第2组</x:v>
      </x:c>
      <x:c r="C637" s="71" t="str">
        <x:v>BSD</x:v>
      </x:c>
      <x:c r="D637" s="71" t="str">
        <x:v>检测包／5份</x:v>
      </x:c>
      <x:c r="E637" s="73" t="n">
        <x:v>3.99</x:v>
      </x:c>
      <x:c r="F637" s="71" t="str">
        <x:v>$3.99</x:v>
      </x:c>
      <x:c r="G637" s="71" t="str">
        <x:v>en-BS</x:v>
      </x:c>
    </x:row>
    <x:row r="638" ht="27" customHeight="1">
      <x:c r="A638" s="71" t="str">
        <x:v>巴哈马</x:v>
      </x:c>
      <x:c r="B638" s="71" t="str">
        <x:v>第2组</x:v>
      </x:c>
      <x:c r="C638" s="71" t="str">
        <x:v>BSD</x:v>
      </x:c>
      <x:c r="D638" s="71" t="str">
        <x:v>Humanizer包／3份</x:v>
      </x:c>
      <x:c r="E638" s="73" t="n">
        <x:v>5.99</x:v>
      </x:c>
      <x:c r="F638" s="71" t="str">
        <x:v>$5.99</x:v>
      </x:c>
      <x:c r="G638" s="71" t="str">
        <x:v>en-BS</x:v>
      </x:c>
    </x:row>
    <x:row r="639" ht="27" customHeight="1">
      <x:c r="A639" s="71" t="str">
        <x:v>巴哈马</x:v>
      </x:c>
      <x:c r="B639" s="71" t="str">
        <x:v>第2组</x:v>
      </x:c>
      <x:c r="C639" s="71" t="str">
        <x:v>BSD</x:v>
      </x:c>
      <x:c r="D639" s="71" t="str">
        <x:v>Study Pass／月</x:v>
      </x:c>
      <x:c r="E639" s="73" t="n">
        <x:v>0.85</x:v>
      </x:c>
      <x:c r="F639" s="71" t="str">
        <x:v>$0.85</x:v>
      </x:c>
      <x:c r="G639" s="71" t="str">
        <x:v>en-BS</x:v>
      </x:c>
    </x:row>
    <x:row r="640" ht="27" customHeight="1">
      <x:c r="A640" s="71" t="str">
        <x:v>伯利兹</x:v>
      </x:c>
      <x:c r="B640" s="71" t="str">
        <x:v>第2组</x:v>
      </x:c>
      <x:c r="C640" s="71" t="str">
        <x:v>BZD</x:v>
      </x:c>
      <x:c r="D640" s="71" t="str">
        <x:v>Trial／7天</x:v>
      </x:c>
      <x:c r="E640" s="73" t="n">
        <x:v>2.49</x:v>
      </x:c>
      <x:c r="F640" s="71" t="str">
        <x:v>$2.49</x:v>
      </x:c>
      <x:c r="G640" s="71" t="str">
        <x:v>en-BZ</x:v>
      </x:c>
    </x:row>
    <x:row r="641" ht="27" customHeight="1">
      <x:c r="A641" s="71" t="str">
        <x:v>伯利兹</x:v>
      </x:c>
      <x:c r="B641" s="71" t="str">
        <x:v>第2组</x:v>
      </x:c>
      <x:c r="C641" s="71" t="str">
        <x:v>BZD</x:v>
      </x:c>
      <x:c r="D641" s="71" t="str">
        <x:v>Basic／月</x:v>
      </x:c>
      <x:c r="E641" s="73" t="n">
        <x:v>15.99</x:v>
      </x:c>
      <x:c r="F641" s="71" t="str">
        <x:v>$15.99</x:v>
      </x:c>
      <x:c r="G641" s="71" t="str">
        <x:v>en-BZ</x:v>
      </x:c>
    </x:row>
    <x:row r="642" ht="27" customHeight="1">
      <x:c r="A642" s="71" t="str">
        <x:v>伯利兹</x:v>
      </x:c>
      <x:c r="B642" s="71" t="str">
        <x:v>第2组</x:v>
      </x:c>
      <x:c r="C642" s="71" t="str">
        <x:v>BZD</x:v>
      </x:c>
      <x:c r="D642" s="71" t="str">
        <x:v>Plus／月</x:v>
      </x:c>
      <x:c r="E642" s="73" t="n">
        <x:v>31.99</x:v>
      </x:c>
      <x:c r="F642" s="71" t="str">
        <x:v>$31.99</x:v>
      </x:c>
      <x:c r="G642" s="71" t="str">
        <x:v>en-BZ</x:v>
      </x:c>
    </x:row>
    <x:row r="643" ht="27" customHeight="1">
      <x:c r="A643" s="71" t="str">
        <x:v>伯利兹</x:v>
      </x:c>
      <x:c r="B643" s="71" t="str">
        <x:v>第2组</x:v>
      </x:c>
      <x:c r="C643" s="71" t="str">
        <x:v>BZD</x:v>
      </x:c>
      <x:c r="D643" s="71" t="str">
        <x:v>新Pro／月</x:v>
      </x:c>
      <x:c r="E643" s="73" t="n">
        <x:v>23.99</x:v>
      </x:c>
      <x:c r="F643" s="71" t="str">
        <x:v>$23.99</x:v>
      </x:c>
      <x:c r="G643" s="71" t="str">
        <x:v>en-BZ</x:v>
      </x:c>
    </x:row>
    <x:row r="644" ht="27" customHeight="1">
      <x:c r="A644" s="71" t="str">
        <x:v>伯利兹</x:v>
      </x:c>
      <x:c r="B644" s="71" t="str">
        <x:v>第2组</x:v>
      </x:c>
      <x:c r="C644" s="71" t="str">
        <x:v>BZD</x:v>
      </x:c>
      <x:c r="D644" s="71" t="str">
        <x:v>Basic／年</x:v>
      </x:c>
      <x:c r="E644" s="73" t="n">
        <x:v>76.99</x:v>
      </x:c>
      <x:c r="F644" s="71" t="str">
        <x:v>$76.99</x:v>
      </x:c>
      <x:c r="G644" s="71" t="str">
        <x:v>en-BZ</x:v>
      </x:c>
    </x:row>
    <x:row r="645" ht="27" customHeight="1">
      <x:c r="A645" s="71" t="str">
        <x:v>伯利兹</x:v>
      </x:c>
      <x:c r="B645" s="71" t="str">
        <x:v>第2组</x:v>
      </x:c>
      <x:c r="C645" s="71" t="str">
        <x:v>BZD</x:v>
      </x:c>
      <x:c r="D645" s="71" t="str">
        <x:v>Plus／年</x:v>
      </x:c>
      <x:c r="E645" s="73" t="n">
        <x:v>153.99</x:v>
      </x:c>
      <x:c r="F645" s="71" t="str">
        <x:v>$153.99</x:v>
      </x:c>
      <x:c r="G645" s="71" t="str">
        <x:v>en-BZ</x:v>
      </x:c>
    </x:row>
    <x:row r="646" ht="27" customHeight="1">
      <x:c r="A646" s="71" t="str">
        <x:v>伯利兹</x:v>
      </x:c>
      <x:c r="B646" s="71" t="str">
        <x:v>第2组</x:v>
      </x:c>
      <x:c r="C646" s="71" t="str">
        <x:v>BZD</x:v>
      </x:c>
      <x:c r="D646" s="71" t="str">
        <x:v>新Pro／年</x:v>
      </x:c>
      <x:c r="E646" s="73" t="n">
        <x:v>287.88</x:v>
      </x:c>
      <x:c r="F646" s="71" t="str">
        <x:v>$287.88</x:v>
      </x:c>
      <x:c r="G646" s="71" t="str">
        <x:v>en-BZ</x:v>
      </x:c>
    </x:row>
    <x:row r="647" ht="27" customHeight="1">
      <x:c r="A647" s="71" t="str">
        <x:v>伯利兹</x:v>
      </x:c>
      <x:c r="B647" s="71" t="str">
        <x:v>第2组</x:v>
      </x:c>
      <x:c r="C647" s="71" t="str">
        <x:v>BZD</x:v>
      </x:c>
      <x:c r="D647" s="71" t="str">
        <x:v>作业包／3份</x:v>
      </x:c>
      <x:c r="E647" s="73" t="n">
        <x:v>7.99</x:v>
      </x:c>
      <x:c r="F647" s="71" t="str">
        <x:v>$7.99</x:v>
      </x:c>
      <x:c r="G647" s="71" t="str">
        <x:v>en-BZ</x:v>
      </x:c>
    </x:row>
    <x:row r="648" ht="27" customHeight="1">
      <x:c r="A648" s="71" t="str">
        <x:v>伯利兹</x:v>
      </x:c>
      <x:c r="B648" s="71" t="str">
        <x:v>第2组</x:v>
      </x:c>
      <x:c r="C648" s="71" t="str">
        <x:v>BZD</x:v>
      </x:c>
      <x:c r="D648" s="71" t="str">
        <x:v>检测包／5份</x:v>
      </x:c>
      <x:c r="E648" s="73" t="n">
        <x:v>3.99</x:v>
      </x:c>
      <x:c r="F648" s="71" t="str">
        <x:v>$3.99</x:v>
      </x:c>
      <x:c r="G648" s="71" t="str">
        <x:v>en-BZ</x:v>
      </x:c>
    </x:row>
    <x:row r="649" ht="27" customHeight="1">
      <x:c r="A649" s="71" t="str">
        <x:v>伯利兹</x:v>
      </x:c>
      <x:c r="B649" s="71" t="str">
        <x:v>第2组</x:v>
      </x:c>
      <x:c r="C649" s="71" t="str">
        <x:v>BZD</x:v>
      </x:c>
      <x:c r="D649" s="71" t="str">
        <x:v>Humanizer包／3份</x:v>
      </x:c>
      <x:c r="E649" s="73" t="n">
        <x:v>5.49</x:v>
      </x:c>
      <x:c r="F649" s="71" t="str">
        <x:v>$5.49</x:v>
      </x:c>
      <x:c r="G649" s="71" t="str">
        <x:v>en-BZ</x:v>
      </x:c>
    </x:row>
    <x:row r="650" ht="27" customHeight="1">
      <x:c r="A650" s="71" t="str">
        <x:v>伯利兹</x:v>
      </x:c>
      <x:c r="B650" s="71" t="str">
        <x:v>第2组</x:v>
      </x:c>
      <x:c r="C650" s="71" t="str">
        <x:v>BZD</x:v>
      </x:c>
      <x:c r="D650" s="71" t="str">
        <x:v>Study Pass／月</x:v>
      </x:c>
      <x:c r="E650" s="73" t="n">
        <x:v>1.2</x:v>
      </x:c>
      <x:c r="F650" s="71" t="str">
        <x:v>$1.20</x:v>
      </x:c>
      <x:c r="G650" s="71" t="str">
        <x:v>en-BZ</x:v>
      </x:c>
    </x:row>
    <x:row r="651" ht="27" customHeight="1">
      <x:c r="A651" s="71" t="str">
        <x:v>玻利维亚</x:v>
      </x:c>
      <x:c r="B651" s="71" t="str">
        <x:v>第2组</x:v>
      </x:c>
      <x:c r="C651" s="71" t="str">
        <x:v>BOB</x:v>
      </x:c>
      <x:c r="D651" s="71" t="str">
        <x:v>Trial／7天</x:v>
      </x:c>
      <x:c r="E651" s="73" t="n">
        <x:v>8.99</x:v>
      </x:c>
      <x:c r="F651" s="71" t="str">
        <x:v>Bs 8,99</x:v>
      </x:c>
      <x:c r="G651" s="71" t="str">
        <x:v>es-BO</x:v>
      </x:c>
    </x:row>
    <x:row r="652" ht="27" customHeight="1">
      <x:c r="A652" s="71" t="str">
        <x:v>玻利维亚</x:v>
      </x:c>
      <x:c r="B652" s="71" t="str">
        <x:v>第2组</x:v>
      </x:c>
      <x:c r="C652" s="71" t="str">
        <x:v>BOB</x:v>
      </x:c>
      <x:c r="D652" s="71" t="str">
        <x:v>Basic／月</x:v>
      </x:c>
      <x:c r="E652" s="73" t="n">
        <x:v>58.99</x:v>
      </x:c>
      <x:c r="F652" s="71" t="str">
        <x:v>Bs 58,99</x:v>
      </x:c>
      <x:c r="G652" s="71" t="str">
        <x:v>es-BO</x:v>
      </x:c>
    </x:row>
    <x:row r="653" ht="27" customHeight="1">
      <x:c r="A653" s="71" t="str">
        <x:v>玻利维亚</x:v>
      </x:c>
      <x:c r="B653" s="71" t="str">
        <x:v>第2组</x:v>
      </x:c>
      <x:c r="C653" s="71" t="str">
        <x:v>BOB</x:v>
      </x:c>
      <x:c r="D653" s="71" t="str">
        <x:v>Plus／月</x:v>
      </x:c>
      <x:c r="E653" s="73" t="n">
        <x:v>116.99</x:v>
      </x:c>
      <x:c r="F653" s="71" t="str">
        <x:v>Bs 116,99</x:v>
      </x:c>
      <x:c r="G653" s="71" t="str">
        <x:v>es-BO</x:v>
      </x:c>
    </x:row>
    <x:row r="654" ht="27" customHeight="1">
      <x:c r="A654" s="71" t="str">
        <x:v>玻利维亚</x:v>
      </x:c>
      <x:c r="B654" s="71" t="str">
        <x:v>第2组</x:v>
      </x:c>
      <x:c r="C654" s="71" t="str">
        <x:v>BOB</x:v>
      </x:c>
      <x:c r="D654" s="71" t="str">
        <x:v>新Pro／月</x:v>
      </x:c>
      <x:c r="E654" s="73" t="n">
        <x:v>87.99</x:v>
      </x:c>
      <x:c r="F654" s="71" t="str">
        <x:v>Bs 87,99</x:v>
      </x:c>
      <x:c r="G654" s="71" t="str">
        <x:v>es-BO</x:v>
      </x:c>
    </x:row>
    <x:row r="655" ht="27" customHeight="1">
      <x:c r="A655" s="71" t="str">
        <x:v>玻利维亚</x:v>
      </x:c>
      <x:c r="B655" s="71" t="str">
        <x:v>第2组</x:v>
      </x:c>
      <x:c r="C655" s="71" t="str">
        <x:v>BOB</x:v>
      </x:c>
      <x:c r="D655" s="71" t="str">
        <x:v>Basic／年</x:v>
      </x:c>
      <x:c r="E655" s="73" t="n">
        <x:v>280.99</x:v>
      </x:c>
      <x:c r="F655" s="71" t="str">
        <x:v>Bs 280,99</x:v>
      </x:c>
      <x:c r="G655" s="71" t="str">
        <x:v>es-BO</x:v>
      </x:c>
    </x:row>
    <x:row r="656" ht="27" customHeight="1">
      <x:c r="A656" s="71" t="str">
        <x:v>玻利维亚</x:v>
      </x:c>
      <x:c r="B656" s="71" t="str">
        <x:v>第2组</x:v>
      </x:c>
      <x:c r="C656" s="71" t="str">
        <x:v>BOB</x:v>
      </x:c>
      <x:c r="D656" s="71" t="str">
        <x:v>Plus／年</x:v>
      </x:c>
      <x:c r="E656" s="73" t="n">
        <x:v>561.99</x:v>
      </x:c>
      <x:c r="F656" s="71" t="str">
        <x:v>Bs 561,99</x:v>
      </x:c>
      <x:c r="G656" s="71" t="str">
        <x:v>es-BO</x:v>
      </x:c>
    </x:row>
    <x:row r="657" ht="27" customHeight="1">
      <x:c r="A657" s="71" t="str">
        <x:v>玻利维亚</x:v>
      </x:c>
      <x:c r="B657" s="71" t="str">
        <x:v>第2组</x:v>
      </x:c>
      <x:c r="C657" s="71" t="str">
        <x:v>BOB</x:v>
      </x:c>
      <x:c r="D657" s="71" t="str">
        <x:v>新Pro／年</x:v>
      </x:c>
      <x:c r="E657" s="73" t="n">
        <x:v>1055.88</x:v>
      </x:c>
      <x:c r="F657" s="71" t="str">
        <x:v>Bs 1.055,88</x:v>
      </x:c>
      <x:c r="G657" s="71" t="str">
        <x:v>es-BO</x:v>
      </x:c>
    </x:row>
    <x:row r="658" ht="27" customHeight="1">
      <x:c r="A658" s="71" t="str">
        <x:v>玻利维亚</x:v>
      </x:c>
      <x:c r="B658" s="71" t="str">
        <x:v>第2组</x:v>
      </x:c>
      <x:c r="C658" s="71" t="str">
        <x:v>BOB</x:v>
      </x:c>
      <x:c r="D658" s="71" t="str">
        <x:v>作业包／3份</x:v>
      </x:c>
      <x:c r="E658" s="73" t="n">
        <x:v>28.99</x:v>
      </x:c>
      <x:c r="F658" s="71" t="str">
        <x:v>Bs 28,99</x:v>
      </x:c>
      <x:c r="G658" s="71" t="str">
        <x:v>es-BO</x:v>
      </x:c>
    </x:row>
    <x:row r="659" ht="27" customHeight="1">
      <x:c r="A659" s="71" t="str">
        <x:v>玻利维亚</x:v>
      </x:c>
      <x:c r="B659" s="71" t="str">
        <x:v>第2组</x:v>
      </x:c>
      <x:c r="C659" s="71" t="str">
        <x:v>BOB</x:v>
      </x:c>
      <x:c r="D659" s="71" t="str">
        <x:v>检测包／5份</x:v>
      </x:c>
      <x:c r="E659" s="73" t="n">
        <x:v>14.99</x:v>
      </x:c>
      <x:c r="F659" s="71" t="str">
        <x:v>Bs 14,99</x:v>
      </x:c>
      <x:c r="G659" s="71" t="str">
        <x:v>es-BO</x:v>
      </x:c>
    </x:row>
    <x:row r="660" ht="27" customHeight="1">
      <x:c r="A660" s="71" t="str">
        <x:v>玻利维亚</x:v>
      </x:c>
      <x:c r="B660" s="71" t="str">
        <x:v>第2组</x:v>
      </x:c>
      <x:c r="C660" s="71" t="str">
        <x:v>BOB</x:v>
      </x:c>
      <x:c r="D660" s="71" t="str">
        <x:v>Humanizer包／3份</x:v>
      </x:c>
      <x:c r="E660" s="73" t="n">
        <x:v>19.99</x:v>
      </x:c>
      <x:c r="F660" s="71" t="str">
        <x:v>Bs 19,99</x:v>
      </x:c>
      <x:c r="G660" s="71" t="str">
        <x:v>es-BO</x:v>
      </x:c>
    </x:row>
    <x:row r="661" ht="27" customHeight="1">
      <x:c r="A661" s="71" t="str">
        <x:v>玻利维亚</x:v>
      </x:c>
      <x:c r="B661" s="71" t="str">
        <x:v>第2组</x:v>
      </x:c>
      <x:c r="C661" s="71" t="str">
        <x:v>BOB</x:v>
      </x:c>
      <x:c r="D661" s="71" t="str">
        <x:v>Study Pass／月</x:v>
      </x:c>
      <x:c r="E661" s="73" t="n">
        <x:v>7.1</x:v>
      </x:c>
      <x:c r="F661" s="71" t="str">
        <x:v>Bs 7,10</x:v>
      </x:c>
      <x:c r="G661" s="71" t="str">
        <x:v>es-BO</x:v>
      </x:c>
    </x:row>
    <x:row r="662" ht="27" customHeight="1">
      <x:c r="A662" s="71" t="str">
        <x:v>法国</x:v>
      </x:c>
      <x:c r="B662" s="71" t="str">
        <x:v>第2组</x:v>
      </x:c>
      <x:c r="C662" s="71" t="str">
        <x:v>EUR</x:v>
      </x:c>
      <x:c r="D662" s="71" t="str">
        <x:v>Trial／7天</x:v>
      </x:c>
      <x:c r="E662" s="73" t="n">
        <x:v>1.99</x:v>
      </x:c>
      <x:c r="F662" s="71" t="str">
        <x:v>1,99 €</x:v>
      </x:c>
      <x:c r="G662" s="71" t="str">
        <x:v>fr-FR</x:v>
      </x:c>
    </x:row>
    <x:row r="663" ht="27" customHeight="1">
      <x:c r="A663" s="71" t="str">
        <x:v>法国</x:v>
      </x:c>
      <x:c r="B663" s="71" t="str">
        <x:v>第2组</x:v>
      </x:c>
      <x:c r="C663" s="71" t="str">
        <x:v>EUR</x:v>
      </x:c>
      <x:c r="D663" s="71" t="str">
        <x:v>Basic／月</x:v>
      </x:c>
      <x:c r="E663" s="73" t="n">
        <x:v>12.99</x:v>
      </x:c>
      <x:c r="F663" s="71" t="str">
        <x:v>12,99 €</x:v>
      </x:c>
      <x:c r="G663" s="71" t="str">
        <x:v>fr-FR</x:v>
      </x:c>
    </x:row>
    <x:row r="664" ht="27" customHeight="1">
      <x:c r="A664" s="71" t="str">
        <x:v>法国</x:v>
      </x:c>
      <x:c r="B664" s="71" t="str">
        <x:v>第2组</x:v>
      </x:c>
      <x:c r="C664" s="71" t="str">
        <x:v>EUR</x:v>
      </x:c>
      <x:c r="D664" s="71" t="str">
        <x:v>Plus／月</x:v>
      </x:c>
      <x:c r="E664" s="73" t="n">
        <x:v>26.99</x:v>
      </x:c>
      <x:c r="F664" s="71" t="str">
        <x:v>26,99 €</x:v>
      </x:c>
      <x:c r="G664" s="71" t="str">
        <x:v>fr-FR</x:v>
      </x:c>
    </x:row>
    <x:row r="665" ht="27" customHeight="1">
      <x:c r="A665" s="71" t="str">
        <x:v>法国</x:v>
      </x:c>
      <x:c r="B665" s="71" t="str">
        <x:v>第2组</x:v>
      </x:c>
      <x:c r="C665" s="71" t="str">
        <x:v>EUR</x:v>
      </x:c>
      <x:c r="D665" s="71" t="str">
        <x:v>新Pro／月</x:v>
      </x:c>
      <x:c r="E665" s="73" t="n">
        <x:v>19.99</x:v>
      </x:c>
      <x:c r="F665" s="71" t="str">
        <x:v>19,99 €</x:v>
      </x:c>
      <x:c r="G665" s="71" t="str">
        <x:v>fr-FR</x:v>
      </x:c>
    </x:row>
    <x:row r="666" ht="27" customHeight="1">
      <x:c r="A666" s="71" t="str">
        <x:v>法国</x:v>
      </x:c>
      <x:c r="B666" s="71" t="str">
        <x:v>第2组</x:v>
      </x:c>
      <x:c r="C666" s="71" t="str">
        <x:v>EUR</x:v>
      </x:c>
      <x:c r="D666" s="71" t="str">
        <x:v>Basic／年</x:v>
      </x:c>
      <x:c r="E666" s="73" t="n">
        <x:v>62.99</x:v>
      </x:c>
      <x:c r="F666" s="71" t="str">
        <x:v>62,99 €</x:v>
      </x:c>
      <x:c r="G666" s="71" t="str">
        <x:v>fr-FR</x:v>
      </x:c>
    </x:row>
    <x:row r="667" ht="27" customHeight="1">
      <x:c r="A667" s="71" t="str">
        <x:v>法国</x:v>
      </x:c>
      <x:c r="B667" s="71" t="str">
        <x:v>第2组</x:v>
      </x:c>
      <x:c r="C667" s="71" t="str">
        <x:v>EUR</x:v>
      </x:c>
      <x:c r="D667" s="71" t="str">
        <x:v>Plus／年</x:v>
      </x:c>
      <x:c r="E667" s="73" t="n">
        <x:v>127.99</x:v>
      </x:c>
      <x:c r="F667" s="71" t="str">
        <x:v>127,99 €</x:v>
      </x:c>
      <x:c r="G667" s="71" t="str">
        <x:v>fr-FR</x:v>
      </x:c>
    </x:row>
    <x:row r="668" ht="27" customHeight="1">
      <x:c r="A668" s="71" t="str">
        <x:v>法国</x:v>
      </x:c>
      <x:c r="B668" s="71" t="str">
        <x:v>第2组</x:v>
      </x:c>
      <x:c r="C668" s="71" t="str">
        <x:v>EUR</x:v>
      </x:c>
      <x:c r="D668" s="71" t="str">
        <x:v>新Pro／年</x:v>
      </x:c>
      <x:c r="E668" s="73" t="n">
        <x:v>239.88</x:v>
      </x:c>
      <x:c r="F668" s="71" t="str">
        <x:v>239,88 €</x:v>
      </x:c>
      <x:c r="G668" s="71" t="str">
        <x:v>fr-FR</x:v>
      </x:c>
    </x:row>
    <x:row r="669" ht="27" customHeight="1">
      <x:c r="A669" s="71" t="str">
        <x:v>法国</x:v>
      </x:c>
      <x:c r="B669" s="71" t="str">
        <x:v>第2组</x:v>
      </x:c>
      <x:c r="C669" s="71" t="str">
        <x:v>EUR</x:v>
      </x:c>
      <x:c r="D669" s="71" t="str">
        <x:v>作业包／3份</x:v>
      </x:c>
      <x:c r="E669" s="73" t="n">
        <x:v>6.49</x:v>
      </x:c>
      <x:c r="F669" s="71" t="str">
        <x:v>6,49 €</x:v>
      </x:c>
      <x:c r="G669" s="71" t="str">
        <x:v>fr-FR</x:v>
      </x:c>
    </x:row>
    <x:row r="670" ht="27" customHeight="1">
      <x:c r="A670" s="71" t="str">
        <x:v>法国</x:v>
      </x:c>
      <x:c r="B670" s="71" t="str">
        <x:v>第2组</x:v>
      </x:c>
      <x:c r="C670" s="71" t="str">
        <x:v>EUR</x:v>
      </x:c>
      <x:c r="D670" s="71" t="str">
        <x:v>检测包／5份</x:v>
      </x:c>
      <x:c r="E670" s="73" t="n">
        <x:v>3.49</x:v>
      </x:c>
      <x:c r="F670" s="71" t="str">
        <x:v>3,49 €</x:v>
      </x:c>
      <x:c r="G670" s="71" t="str">
        <x:v>fr-FR</x:v>
      </x:c>
    </x:row>
    <x:row r="671" ht="27" customHeight="1">
      <x:c r="A671" s="71" t="str">
        <x:v>法国</x:v>
      </x:c>
      <x:c r="B671" s="71" t="str">
        <x:v>第2组</x:v>
      </x:c>
      <x:c r="C671" s="71" t="str">
        <x:v>EUR</x:v>
      </x:c>
      <x:c r="D671" s="71" t="str">
        <x:v>Humanizer包／3份</x:v>
      </x:c>
      <x:c r="E671" s="73" t="n">
        <x:v>4.49</x:v>
      </x:c>
      <x:c r="F671" s="71" t="str">
        <x:v>4,49 €</x:v>
      </x:c>
      <x:c r="G671" s="71" t="str">
        <x:v>fr-FR</x:v>
      </x:c>
    </x:row>
    <x:row r="672" ht="27" customHeight="1">
      <x:c r="A672" s="71" t="str">
        <x:v>法国</x:v>
      </x:c>
      <x:c r="B672" s="71" t="str">
        <x:v>第2组</x:v>
      </x:c>
      <x:c r="C672" s="71" t="str">
        <x:v>EUR</x:v>
      </x:c>
      <x:c r="D672" s="71" t="str">
        <x:v>Study Pass／月</x:v>
      </x:c>
      <x:c r="E672" s="73" t="n">
        <x:v>0.65</x:v>
      </x:c>
      <x:c r="F672" s="71" t="str">
        <x:v>0,65 €</x:v>
      </x:c>
      <x:c r="G672" s="71" t="str">
        <x:v>fr-FR</x:v>
      </x:c>
    </x:row>
    <x:row r="673" ht="27" customHeight="1">
      <x:c r="A673" s="71" t="str">
        <x:v>希腊</x:v>
      </x:c>
      <x:c r="B673" s="71" t="str">
        <x:v>第2组</x:v>
      </x:c>
      <x:c r="C673" s="71" t="str">
        <x:v>EUR</x:v>
      </x:c>
      <x:c r="D673" s="71" t="str">
        <x:v>Trial／7天</x:v>
      </x:c>
      <x:c r="E673" s="73" t="n">
        <x:v>1.49</x:v>
      </x:c>
      <x:c r="F673" s="71" t="str">
        <x:v>1,49 €</x:v>
      </x:c>
      <x:c r="G673" s="71" t="str">
        <x:v>el-GR</x:v>
      </x:c>
    </x:row>
    <x:row r="674" ht="27" customHeight="1">
      <x:c r="A674" s="71" t="str">
        <x:v>希腊</x:v>
      </x:c>
      <x:c r="B674" s="71" t="str">
        <x:v>第2组</x:v>
      </x:c>
      <x:c r="C674" s="71" t="str">
        <x:v>EUR</x:v>
      </x:c>
      <x:c r="D674" s="71" t="str">
        <x:v>Basic／月</x:v>
      </x:c>
      <x:c r="E674" s="73" t="n">
        <x:v>9.99</x:v>
      </x:c>
      <x:c r="F674" s="71" t="str">
        <x:v>9,99 €</x:v>
      </x:c>
      <x:c r="G674" s="71" t="str">
        <x:v>el-GR</x:v>
      </x:c>
    </x:row>
    <x:row r="675" ht="27" customHeight="1">
      <x:c r="A675" s="71" t="str">
        <x:v>希腊</x:v>
      </x:c>
      <x:c r="B675" s="71" t="str">
        <x:v>第2组</x:v>
      </x:c>
      <x:c r="C675" s="71" t="str">
        <x:v>EUR</x:v>
      </x:c>
      <x:c r="D675" s="71" t="str">
        <x:v>Plus／月</x:v>
      </x:c>
      <x:c r="E675" s="73" t="n">
        <x:v>19.99</x:v>
      </x:c>
      <x:c r="F675" s="71" t="str">
        <x:v>19,99 €</x:v>
      </x:c>
      <x:c r="G675" s="71" t="str">
        <x:v>el-GR</x:v>
      </x:c>
    </x:row>
    <x:row r="676" ht="27" customHeight="1">
      <x:c r="A676" s="71" t="str">
        <x:v>希腊</x:v>
      </x:c>
      <x:c r="B676" s="71" t="str">
        <x:v>第2组</x:v>
      </x:c>
      <x:c r="C676" s="71" t="str">
        <x:v>EUR</x:v>
      </x:c>
      <x:c r="D676" s="71" t="str">
        <x:v>新Pro／月</x:v>
      </x:c>
      <x:c r="E676" s="73" t="n">
        <x:v>14.99</x:v>
      </x:c>
      <x:c r="F676" s="71" t="str">
        <x:v>14,99 €</x:v>
      </x:c>
      <x:c r="G676" s="71" t="str">
        <x:v>el-GR</x:v>
      </x:c>
    </x:row>
    <x:row r="677" ht="27" customHeight="1">
      <x:c r="A677" s="71" t="str">
        <x:v>希腊</x:v>
      </x:c>
      <x:c r="B677" s="71" t="str">
        <x:v>第2组</x:v>
      </x:c>
      <x:c r="C677" s="71" t="str">
        <x:v>EUR</x:v>
      </x:c>
      <x:c r="D677" s="71" t="str">
        <x:v>Basic／年</x:v>
      </x:c>
      <x:c r="E677" s="73" t="n">
        <x:v>46.99</x:v>
      </x:c>
      <x:c r="F677" s="71" t="str">
        <x:v>46,99 €</x:v>
      </x:c>
      <x:c r="G677" s="71" t="str">
        <x:v>el-GR</x:v>
      </x:c>
    </x:row>
    <x:row r="678" ht="27" customHeight="1">
      <x:c r="A678" s="71" t="str">
        <x:v>希腊</x:v>
      </x:c>
      <x:c r="B678" s="71" t="str">
        <x:v>第2组</x:v>
      </x:c>
      <x:c r="C678" s="71" t="str">
        <x:v>EUR</x:v>
      </x:c>
      <x:c r="D678" s="71" t="str">
        <x:v>Plus／年</x:v>
      </x:c>
      <x:c r="E678" s="73" t="n">
        <x:v>93.99</x:v>
      </x:c>
      <x:c r="F678" s="71" t="str">
        <x:v>93,99 €</x:v>
      </x:c>
      <x:c r="G678" s="71" t="str">
        <x:v>el-GR</x:v>
      </x:c>
    </x:row>
    <x:row r="679" ht="27" customHeight="1">
      <x:c r="A679" s="71" t="str">
        <x:v>希腊</x:v>
      </x:c>
      <x:c r="B679" s="71" t="str">
        <x:v>第2组</x:v>
      </x:c>
      <x:c r="C679" s="71" t="str">
        <x:v>EUR</x:v>
      </x:c>
      <x:c r="D679" s="71" t="str">
        <x:v>新Pro／年</x:v>
      </x:c>
      <x:c r="E679" s="73" t="n">
        <x:v>179.88</x:v>
      </x:c>
      <x:c r="F679" s="71" t="str">
        <x:v>179,88 €</x:v>
      </x:c>
      <x:c r="G679" s="71" t="str">
        <x:v>el-GR</x:v>
      </x:c>
    </x:row>
    <x:row r="680" ht="27" customHeight="1">
      <x:c r="A680" s="71" t="str">
        <x:v>希腊</x:v>
      </x:c>
      <x:c r="B680" s="71" t="str">
        <x:v>第2组</x:v>
      </x:c>
      <x:c r="C680" s="71" t="str">
        <x:v>EUR</x:v>
      </x:c>
      <x:c r="D680" s="71" t="str">
        <x:v>作业包／3份</x:v>
      </x:c>
      <x:c r="E680" s="73" t="n">
        <x:v>4.99</x:v>
      </x:c>
      <x:c r="F680" s="71" t="str">
        <x:v>4,99 €</x:v>
      </x:c>
      <x:c r="G680" s="71" t="str">
        <x:v>el-GR</x:v>
      </x:c>
    </x:row>
    <x:row r="681" ht="27" customHeight="1">
      <x:c r="A681" s="71" t="str">
        <x:v>希腊</x:v>
      </x:c>
      <x:c r="B681" s="71" t="str">
        <x:v>第2组</x:v>
      </x:c>
      <x:c r="C681" s="71" t="str">
        <x:v>EUR</x:v>
      </x:c>
      <x:c r="D681" s="71" t="str">
        <x:v>检测包／5份</x:v>
      </x:c>
      <x:c r="E681" s="73" t="n">
        <x:v>2.49</x:v>
      </x:c>
      <x:c r="F681" s="71" t="str">
        <x:v>2,49 €</x:v>
      </x:c>
      <x:c r="G681" s="71" t="str">
        <x:v>el-GR</x:v>
      </x:c>
    </x:row>
    <x:row r="682" ht="27" customHeight="1">
      <x:c r="A682" s="71" t="str">
        <x:v>希腊</x:v>
      </x:c>
      <x:c r="B682" s="71" t="str">
        <x:v>第2组</x:v>
      </x:c>
      <x:c r="C682" s="71" t="str">
        <x:v>EUR</x:v>
      </x:c>
      <x:c r="D682" s="71" t="str">
        <x:v>Humanizer包／3份</x:v>
      </x:c>
      <x:c r="E682" s="73" t="n">
        <x:v>3.49</x:v>
      </x:c>
      <x:c r="F682" s="71" t="str">
        <x:v>3,49 €</x:v>
      </x:c>
      <x:c r="G682" s="71" t="str">
        <x:v>el-GR</x:v>
      </x:c>
    </x:row>
    <x:row r="683" ht="27" customHeight="1">
      <x:c r="A683" s="71" t="str">
        <x:v>希腊</x:v>
      </x:c>
      <x:c r="B683" s="71" t="str">
        <x:v>第2组</x:v>
      </x:c>
      <x:c r="C683" s="71" t="str">
        <x:v>EUR</x:v>
      </x:c>
      <x:c r="D683" s="71" t="str">
        <x:v>Study Pass／月</x:v>
      </x:c>
      <x:c r="E683" s="73" t="n">
        <x:v>0.53</x:v>
      </x:c>
      <x:c r="F683" s="71" t="str">
        <x:v>0,53 €</x:v>
      </x:c>
      <x:c r="G683" s="71" t="str">
        <x:v>el-GR</x:v>
      </x:c>
    </x:row>
    <x:row r="684" ht="27" customHeight="1">
      <x:c r="A684" s="71" t="str">
        <x:v>危地马拉</x:v>
      </x:c>
      <x:c r="B684" s="71" t="str">
        <x:v>第2组</x:v>
      </x:c>
      <x:c r="C684" s="71" t="str">
        <x:v>GTQ</x:v>
      </x:c>
      <x:c r="D684" s="71" t="str">
        <x:v>Trial／7天</x:v>
      </x:c>
      <x:c r="E684" s="73" t="n">
        <x:v>7.99</x:v>
      </x:c>
      <x:c r="F684" s="71" t="str">
        <x:v>Q 7.99</x:v>
      </x:c>
      <x:c r="G684" s="71" t="str">
        <x:v>es-GT</x:v>
      </x:c>
    </x:row>
    <x:row r="685" ht="27" customHeight="1">
      <x:c r="A685" s="71" t="str">
        <x:v>危地马拉</x:v>
      </x:c>
      <x:c r="B685" s="71" t="str">
        <x:v>第2组</x:v>
      </x:c>
      <x:c r="C685" s="71" t="str">
        <x:v>GTQ</x:v>
      </x:c>
      <x:c r="D685" s="71" t="str">
        <x:v>Basic／月</x:v>
      </x:c>
      <x:c r="E685" s="73" t="n">
        <x:v>52.99</x:v>
      </x:c>
      <x:c r="F685" s="71" t="str">
        <x:v>Q 52.99</x:v>
      </x:c>
      <x:c r="G685" s="71" t="str">
        <x:v>es-GT</x:v>
      </x:c>
    </x:row>
    <x:row r="686" ht="27" customHeight="1">
      <x:c r="A686" s="71" t="str">
        <x:v>危地马拉</x:v>
      </x:c>
      <x:c r="B686" s="71" t="str">
        <x:v>第2组</x:v>
      </x:c>
      <x:c r="C686" s="71" t="str">
        <x:v>GTQ</x:v>
      </x:c>
      <x:c r="D686" s="71" t="str">
        <x:v>Plus／月</x:v>
      </x:c>
      <x:c r="E686" s="73" t="n">
        <x:v>106.99</x:v>
      </x:c>
      <x:c r="F686" s="71" t="str">
        <x:v>Q 106.99</x:v>
      </x:c>
      <x:c r="G686" s="71" t="str">
        <x:v>es-GT</x:v>
      </x:c>
    </x:row>
    <x:row r="687" ht="27" customHeight="1">
      <x:c r="A687" s="71" t="str">
        <x:v>危地马拉</x:v>
      </x:c>
      <x:c r="B687" s="71" t="str">
        <x:v>第2组</x:v>
      </x:c>
      <x:c r="C687" s="71" t="str">
        <x:v>GTQ</x:v>
      </x:c>
      <x:c r="D687" s="71" t="str">
        <x:v>新Pro／月</x:v>
      </x:c>
      <x:c r="E687" s="73" t="n">
        <x:v>79.99</x:v>
      </x:c>
      <x:c r="F687" s="71" t="str">
        <x:v>Q 79.99</x:v>
      </x:c>
      <x:c r="G687" s="71" t="str">
        <x:v>es-GT</x:v>
      </x:c>
    </x:row>
    <x:row r="688" ht="27" customHeight="1">
      <x:c r="A688" s="71" t="str">
        <x:v>危地马拉</x:v>
      </x:c>
      <x:c r="B688" s="71" t="str">
        <x:v>第2组</x:v>
      </x:c>
      <x:c r="C688" s="71" t="str">
        <x:v>GTQ</x:v>
      </x:c>
      <x:c r="D688" s="71" t="str">
        <x:v>Basic／年</x:v>
      </x:c>
      <x:c r="E688" s="73" t="n">
        <x:v>255.99</x:v>
      </x:c>
      <x:c r="F688" s="71" t="str">
        <x:v>Q 255.99</x:v>
      </x:c>
      <x:c r="G688" s="71" t="str">
        <x:v>es-GT</x:v>
      </x:c>
    </x:row>
    <x:row r="689" ht="27" customHeight="1">
      <x:c r="A689" s="71" t="str">
        <x:v>危地马拉</x:v>
      </x:c>
      <x:c r="B689" s="71" t="str">
        <x:v>第2组</x:v>
      </x:c>
      <x:c r="C689" s="71" t="str">
        <x:v>GTQ</x:v>
      </x:c>
      <x:c r="D689" s="71" t="str">
        <x:v>Plus／年</x:v>
      </x:c>
      <x:c r="E689" s="73" t="n">
        <x:v>512.99</x:v>
      </x:c>
      <x:c r="F689" s="71" t="str">
        <x:v>Q 512.99</x:v>
      </x:c>
      <x:c r="G689" s="71" t="str">
        <x:v>es-GT</x:v>
      </x:c>
    </x:row>
    <x:row r="690" ht="27" customHeight="1">
      <x:c r="A690" s="71" t="str">
        <x:v>危地马拉</x:v>
      </x:c>
      <x:c r="B690" s="71" t="str">
        <x:v>第2组</x:v>
      </x:c>
      <x:c r="C690" s="71" t="str">
        <x:v>GTQ</x:v>
      </x:c>
      <x:c r="D690" s="71" t="str">
        <x:v>新Pro／年</x:v>
      </x:c>
      <x:c r="E690" s="73" t="n">
        <x:v>959.88</x:v>
      </x:c>
      <x:c r="F690" s="71" t="str">
        <x:v>Q 959.88</x:v>
      </x:c>
      <x:c r="G690" s="71" t="str">
        <x:v>es-GT</x:v>
      </x:c>
    </x:row>
    <x:row r="691" ht="27" customHeight="1">
      <x:c r="A691" s="71" t="str">
        <x:v>危地马拉</x:v>
      </x:c>
      <x:c r="B691" s="71" t="str">
        <x:v>第2组</x:v>
      </x:c>
      <x:c r="C691" s="71" t="str">
        <x:v>GTQ</x:v>
      </x:c>
      <x:c r="D691" s="71" t="str">
        <x:v>作业包／3份</x:v>
      </x:c>
      <x:c r="E691" s="73" t="n">
        <x:v>26.99</x:v>
      </x:c>
      <x:c r="F691" s="71" t="str">
        <x:v>Q 26.99</x:v>
      </x:c>
      <x:c r="G691" s="71" t="str">
        <x:v>es-GT</x:v>
      </x:c>
    </x:row>
    <x:row r="692" ht="27" customHeight="1">
      <x:c r="A692" s="71" t="str">
        <x:v>危地马拉</x:v>
      </x:c>
      <x:c r="B692" s="71" t="str">
        <x:v>第2组</x:v>
      </x:c>
      <x:c r="C692" s="71" t="str">
        <x:v>GTQ</x:v>
      </x:c>
      <x:c r="D692" s="71" t="str">
        <x:v>检测包／5份</x:v>
      </x:c>
      <x:c r="E692" s="73" t="n">
        <x:v>12.99</x:v>
      </x:c>
      <x:c r="F692" s="71" t="str">
        <x:v>Q 12.99</x:v>
      </x:c>
      <x:c r="G692" s="71" t="str">
        <x:v>es-GT</x:v>
      </x:c>
    </x:row>
    <x:row r="693" ht="27" customHeight="1">
      <x:c r="A693" s="71" t="str">
        <x:v>危地马拉</x:v>
      </x:c>
      <x:c r="B693" s="71" t="str">
        <x:v>第2组</x:v>
      </x:c>
      <x:c r="C693" s="71" t="str">
        <x:v>GTQ</x:v>
      </x:c>
      <x:c r="D693" s="71" t="str">
        <x:v>Humanizer包／3份</x:v>
      </x:c>
      <x:c r="E693" s="73" t="n">
        <x:v>18.99</x:v>
      </x:c>
      <x:c r="F693" s="71" t="str">
        <x:v>Q 18.99</x:v>
      </x:c>
      <x:c r="G693" s="71" t="str">
        <x:v>es-GT</x:v>
      </x:c>
    </x:row>
    <x:row r="694" ht="27" customHeight="1">
      <x:c r="A694" s="71" t="str">
        <x:v>危地马拉</x:v>
      </x:c>
      <x:c r="B694" s="71" t="str">
        <x:v>第2组</x:v>
      </x:c>
      <x:c r="C694" s="71" t="str">
        <x:v>GTQ</x:v>
      </x:c>
      <x:c r="D694" s="71" t="str">
        <x:v>Study Pass／月</x:v>
      </x:c>
      <x:c r="E694" s="73" t="n">
        <x:v>4.6</x:v>
      </x:c>
      <x:c r="F694" s="71" t="str">
        <x:v>Q 4.60</x:v>
      </x:c>
      <x:c r="G694" s="71" t="str">
        <x:v>es-GT</x:v>
      </x:c>
    </x:row>
    <x:row r="695" ht="27" customHeight="1">
      <x:c r="A695" s="71" t="str">
        <x:v>伊拉克</x:v>
      </x:c>
      <x:c r="B695" s="71" t="str">
        <x:v>第3组</x:v>
      </x:c>
      <x:c r="C695" s="71" t="str">
        <x:v>USD</x:v>
      </x:c>
      <x:c r="D695" s="71" t="str">
        <x:v>Trial／7天</x:v>
      </x:c>
      <x:c r="E695" s="73" t="n">
        <x:v>0.99</x:v>
      </x:c>
      <x:c r="F695" s="71" t="str">
        <x:v>‏0.99 US$</x:v>
      </x:c>
      <x:c r="G695" s="71" t="str">
        <x:v>ar-IQ</x:v>
      </x:c>
    </x:row>
    <x:row r="696" ht="27" customHeight="1">
      <x:c r="A696" s="71" t="str">
        <x:v>伊拉克</x:v>
      </x:c>
      <x:c r="B696" s="71" t="str">
        <x:v>第3组</x:v>
      </x:c>
      <x:c r="C696" s="71" t="str">
        <x:v>USD</x:v>
      </x:c>
      <x:c r="D696" s="71" t="str">
        <x:v>Basic／月</x:v>
      </x:c>
      <x:c r="E696" s="73" t="n">
        <x:v>6.99</x:v>
      </x:c>
      <x:c r="F696" s="71" t="str">
        <x:v>‏6.99 US$</x:v>
      </x:c>
      <x:c r="G696" s="71" t="str">
        <x:v>ar-IQ</x:v>
      </x:c>
    </x:row>
    <x:row r="697" ht="27" customHeight="1">
      <x:c r="A697" s="71" t="str">
        <x:v>伊拉克</x:v>
      </x:c>
      <x:c r="B697" s="71" t="str">
        <x:v>第3组</x:v>
      </x:c>
      <x:c r="C697" s="71" t="str">
        <x:v>USD</x:v>
      </x:c>
      <x:c r="D697" s="71" t="str">
        <x:v>Plus／月</x:v>
      </x:c>
      <x:c r="E697" s="73" t="n">
        <x:v>13.99</x:v>
      </x:c>
      <x:c r="F697" s="71" t="str">
        <x:v>‏13.99 US$</x:v>
      </x:c>
      <x:c r="G697" s="71" t="str">
        <x:v>ar-IQ</x:v>
      </x:c>
    </x:row>
    <x:row r="698" ht="27" customHeight="1">
      <x:c r="A698" s="71" t="str">
        <x:v>伊拉克</x:v>
      </x:c>
      <x:c r="B698" s="71" t="str">
        <x:v>第3组</x:v>
      </x:c>
      <x:c r="C698" s="71" t="str">
        <x:v>USD</x:v>
      </x:c>
      <x:c r="D698" s="71" t="str">
        <x:v>新Pro／月</x:v>
      </x:c>
      <x:c r="E698" s="73" t="n">
        <x:v>10.99</x:v>
      </x:c>
      <x:c r="F698" s="71" t="str">
        <x:v>‏10.99 US$</x:v>
      </x:c>
      <x:c r="G698" s="71" t="str">
        <x:v>ar-IQ</x:v>
      </x:c>
    </x:row>
    <x:row r="699" ht="27" customHeight="1">
      <x:c r="A699" s="71" t="str">
        <x:v>伊拉克</x:v>
      </x:c>
      <x:c r="B699" s="71" t="str">
        <x:v>第3组</x:v>
      </x:c>
      <x:c r="C699" s="71" t="str">
        <x:v>USD</x:v>
      </x:c>
      <x:c r="D699" s="71" t="str">
        <x:v>Basic／年</x:v>
      </x:c>
      <x:c r="E699" s="73" t="n">
        <x:v>33.99</x:v>
      </x:c>
      <x:c r="F699" s="71" t="str">
        <x:v>‏33.99 US$</x:v>
      </x:c>
      <x:c r="G699" s="71" t="str">
        <x:v>ar-IQ</x:v>
      </x:c>
    </x:row>
    <x:row r="700" ht="27" customHeight="1">
      <x:c r="A700" s="71" t="str">
        <x:v>伊拉克</x:v>
      </x:c>
      <x:c r="B700" s="71" t="str">
        <x:v>第3组</x:v>
      </x:c>
      <x:c r="C700" s="71" t="str">
        <x:v>USD</x:v>
      </x:c>
      <x:c r="D700" s="71" t="str">
        <x:v>Plus／年</x:v>
      </x:c>
      <x:c r="E700" s="73" t="n">
        <x:v>66.99</x:v>
      </x:c>
      <x:c r="F700" s="71" t="str">
        <x:v>‏66.99 US$</x:v>
      </x:c>
      <x:c r="G700" s="71" t="str">
        <x:v>ar-IQ</x:v>
      </x:c>
    </x:row>
    <x:row r="701" ht="27" customHeight="1">
      <x:c r="A701" s="71" t="str">
        <x:v>伊拉克</x:v>
      </x:c>
      <x:c r="B701" s="71" t="str">
        <x:v>第3组</x:v>
      </x:c>
      <x:c r="C701" s="71" t="str">
        <x:v>USD</x:v>
      </x:c>
      <x:c r="D701" s="71" t="str">
        <x:v>新Pro／年</x:v>
      </x:c>
      <x:c r="E701" s="73" t="n">
        <x:v>131.88</x:v>
      </x:c>
      <x:c r="F701" s="71" t="str">
        <x:v>‏131.88 US$</x:v>
      </x:c>
      <x:c r="G701" s="71" t="str">
        <x:v>ar-IQ</x:v>
      </x:c>
    </x:row>
    <x:row r="702" ht="27" customHeight="1">
      <x:c r="A702" s="71" t="str">
        <x:v>伊拉克</x:v>
      </x:c>
      <x:c r="B702" s="71" t="str">
        <x:v>第3组</x:v>
      </x:c>
      <x:c r="C702" s="71" t="str">
        <x:v>USD</x:v>
      </x:c>
      <x:c r="D702" s="71" t="str">
        <x:v>作业包／3份</x:v>
      </x:c>
      <x:c r="E702" s="73" t="n">
        <x:v>3.49</x:v>
      </x:c>
      <x:c r="F702" s="71" t="str">
        <x:v>‏3.49 US$</x:v>
      </x:c>
      <x:c r="G702" s="71" t="str">
        <x:v>ar-IQ</x:v>
      </x:c>
    </x:row>
    <x:row r="703" ht="27" customHeight="1">
      <x:c r="A703" s="71" t="str">
        <x:v>伊拉克</x:v>
      </x:c>
      <x:c r="B703" s="71" t="str">
        <x:v>第3组</x:v>
      </x:c>
      <x:c r="C703" s="71" t="str">
        <x:v>USD</x:v>
      </x:c>
      <x:c r="D703" s="71" t="str">
        <x:v>检测包／5份</x:v>
      </x:c>
      <x:c r="E703" s="73" t="n">
        <x:v>1.79</x:v>
      </x:c>
      <x:c r="F703" s="71" t="str">
        <x:v>‏1.79 US$</x:v>
      </x:c>
      <x:c r="G703" s="71" t="str">
        <x:v>ar-IQ</x:v>
      </x:c>
    </x:row>
    <x:row r="704" ht="27" customHeight="1">
      <x:c r="A704" s="71" t="str">
        <x:v>伊拉克</x:v>
      </x:c>
      <x:c r="B704" s="71" t="str">
        <x:v>第3组</x:v>
      </x:c>
      <x:c r="C704" s="71" t="str">
        <x:v>USD</x:v>
      </x:c>
      <x:c r="D704" s="71" t="str">
        <x:v>Humanizer包／3份</x:v>
      </x:c>
      <x:c r="E704" s="73" t="n">
        <x:v>2.49</x:v>
      </x:c>
      <x:c r="F704" s="71" t="str">
        <x:v>‏2.49 US$</x:v>
      </x:c>
      <x:c r="G704" s="71" t="str">
        <x:v>ar-IQ</x:v>
      </x:c>
    </x:row>
    <x:row r="705" ht="27" customHeight="1">
      <x:c r="A705" s="71" t="str">
        <x:v>伊拉克</x:v>
      </x:c>
      <x:c r="B705" s="71" t="str">
        <x:v>第3组</x:v>
      </x:c>
      <x:c r="C705" s="71" t="str">
        <x:v>USD</x:v>
      </x:c>
      <x:c r="D705" s="71" t="str">
        <x:v>Study Pass／月</x:v>
      </x:c>
      <x:c r="E705" s="73" t="n">
        <x:v>0.6</x:v>
      </x:c>
      <x:c r="F705" s="71" t="str">
        <x:v>‏0.60 US$</x:v>
      </x:c>
      <x:c r="G705" s="71" t="str">
        <x:v>ar-IQ</x:v>
      </x:c>
    </x:row>
    <x:row r="706" ht="27" customHeight="1">
      <x:c r="A706" s="71" t="str">
        <x:v>约旦</x:v>
      </x:c>
      <x:c r="B706" s="71" t="str">
        <x:v>第3组</x:v>
      </x:c>
      <x:c r="C706" s="71" t="str">
        <x:v>USD</x:v>
      </x:c>
      <x:c r="D706" s="71" t="str">
        <x:v>Trial／7天</x:v>
      </x:c>
      <x:c r="E706" s="73" t="n">
        <x:v>0.99</x:v>
      </x:c>
      <x:c r="F706" s="71" t="str">
        <x:v>‏0.99 US$</x:v>
      </x:c>
      <x:c r="G706" s="71" t="str">
        <x:v>ar-JO</x:v>
      </x:c>
    </x:row>
    <x:row r="707" ht="27" customHeight="1">
      <x:c r="A707" s="71" t="str">
        <x:v>约旦</x:v>
      </x:c>
      <x:c r="B707" s="71" t="str">
        <x:v>第3组</x:v>
      </x:c>
      <x:c r="C707" s="71" t="str">
        <x:v>USD</x:v>
      </x:c>
      <x:c r="D707" s="71" t="str">
        <x:v>Basic／月</x:v>
      </x:c>
      <x:c r="E707" s="73" t="n">
        <x:v>6.99</x:v>
      </x:c>
      <x:c r="F707" s="71" t="str">
        <x:v>‏6.99 US$</x:v>
      </x:c>
      <x:c r="G707" s="71" t="str">
        <x:v>ar-JO</x:v>
      </x:c>
    </x:row>
    <x:row r="708" ht="27" customHeight="1">
      <x:c r="A708" s="71" t="str">
        <x:v>约旦</x:v>
      </x:c>
      <x:c r="B708" s="71" t="str">
        <x:v>第3组</x:v>
      </x:c>
      <x:c r="C708" s="71" t="str">
        <x:v>USD</x:v>
      </x:c>
      <x:c r="D708" s="71" t="str">
        <x:v>Plus／月</x:v>
      </x:c>
      <x:c r="E708" s="73" t="n">
        <x:v>13.99</x:v>
      </x:c>
      <x:c r="F708" s="71" t="str">
        <x:v>‏13.99 US$</x:v>
      </x:c>
      <x:c r="G708" s="71" t="str">
        <x:v>ar-JO</x:v>
      </x:c>
    </x:row>
    <x:row r="709" ht="27" customHeight="1">
      <x:c r="A709" s="71" t="str">
        <x:v>约旦</x:v>
      </x:c>
      <x:c r="B709" s="71" t="str">
        <x:v>第3组</x:v>
      </x:c>
      <x:c r="C709" s="71" t="str">
        <x:v>USD</x:v>
      </x:c>
      <x:c r="D709" s="71" t="str">
        <x:v>新Pro／月</x:v>
      </x:c>
      <x:c r="E709" s="73" t="n">
        <x:v>10.99</x:v>
      </x:c>
      <x:c r="F709" s="71" t="str">
        <x:v>‏10.99 US$</x:v>
      </x:c>
      <x:c r="G709" s="71" t="str">
        <x:v>ar-JO</x:v>
      </x:c>
    </x:row>
    <x:row r="710" ht="27" customHeight="1">
      <x:c r="A710" s="71" t="str">
        <x:v>约旦</x:v>
      </x:c>
      <x:c r="B710" s="71" t="str">
        <x:v>第3组</x:v>
      </x:c>
      <x:c r="C710" s="71" t="str">
        <x:v>USD</x:v>
      </x:c>
      <x:c r="D710" s="71" t="str">
        <x:v>Basic／年</x:v>
      </x:c>
      <x:c r="E710" s="73" t="n">
        <x:v>33.99</x:v>
      </x:c>
      <x:c r="F710" s="71" t="str">
        <x:v>‏33.99 US$</x:v>
      </x:c>
      <x:c r="G710" s="71" t="str">
        <x:v>ar-JO</x:v>
      </x:c>
    </x:row>
    <x:row r="711" ht="27" customHeight="1">
      <x:c r="A711" s="71" t="str">
        <x:v>约旦</x:v>
      </x:c>
      <x:c r="B711" s="71" t="str">
        <x:v>第3组</x:v>
      </x:c>
      <x:c r="C711" s="71" t="str">
        <x:v>USD</x:v>
      </x:c>
      <x:c r="D711" s="71" t="str">
        <x:v>Plus／年</x:v>
      </x:c>
      <x:c r="E711" s="73" t="n">
        <x:v>66.99</x:v>
      </x:c>
      <x:c r="F711" s="71" t="str">
        <x:v>‏66.99 US$</x:v>
      </x:c>
      <x:c r="G711" s="71" t="str">
        <x:v>ar-JO</x:v>
      </x:c>
    </x:row>
    <x:row r="712" ht="27" customHeight="1">
      <x:c r="A712" s="71" t="str">
        <x:v>约旦</x:v>
      </x:c>
      <x:c r="B712" s="71" t="str">
        <x:v>第3组</x:v>
      </x:c>
      <x:c r="C712" s="71" t="str">
        <x:v>USD</x:v>
      </x:c>
      <x:c r="D712" s="71" t="str">
        <x:v>新Pro／年</x:v>
      </x:c>
      <x:c r="E712" s="73" t="n">
        <x:v>131.88</x:v>
      </x:c>
      <x:c r="F712" s="71" t="str">
        <x:v>‏131.88 US$</x:v>
      </x:c>
      <x:c r="G712" s="71" t="str">
        <x:v>ar-JO</x:v>
      </x:c>
    </x:row>
    <x:row r="713" ht="27" customHeight="1">
      <x:c r="A713" s="71" t="str">
        <x:v>约旦</x:v>
      </x:c>
      <x:c r="B713" s="71" t="str">
        <x:v>第3组</x:v>
      </x:c>
      <x:c r="C713" s="71" t="str">
        <x:v>USD</x:v>
      </x:c>
      <x:c r="D713" s="71" t="str">
        <x:v>作业包／3份</x:v>
      </x:c>
      <x:c r="E713" s="73" t="n">
        <x:v>3.49</x:v>
      </x:c>
      <x:c r="F713" s="71" t="str">
        <x:v>‏3.49 US$</x:v>
      </x:c>
      <x:c r="G713" s="71" t="str">
        <x:v>ar-JO</x:v>
      </x:c>
    </x:row>
    <x:row r="714" ht="27" customHeight="1">
      <x:c r="A714" s="71" t="str">
        <x:v>约旦</x:v>
      </x:c>
      <x:c r="B714" s="71" t="str">
        <x:v>第3组</x:v>
      </x:c>
      <x:c r="C714" s="71" t="str">
        <x:v>USD</x:v>
      </x:c>
      <x:c r="D714" s="71" t="str">
        <x:v>检测包／5份</x:v>
      </x:c>
      <x:c r="E714" s="73" t="n">
        <x:v>1.79</x:v>
      </x:c>
      <x:c r="F714" s="71" t="str">
        <x:v>‏1.79 US$</x:v>
      </x:c>
      <x:c r="G714" s="71" t="str">
        <x:v>ar-JO</x:v>
      </x:c>
    </x:row>
    <x:row r="715" ht="27" customHeight="1">
      <x:c r="A715" s="71" t="str">
        <x:v>约旦</x:v>
      </x:c>
      <x:c r="B715" s="71" t="str">
        <x:v>第3组</x:v>
      </x:c>
      <x:c r="C715" s="71" t="str">
        <x:v>USD</x:v>
      </x:c>
      <x:c r="D715" s="71" t="str">
        <x:v>Humanizer包／3份</x:v>
      </x:c>
      <x:c r="E715" s="73" t="n">
        <x:v>2.49</x:v>
      </x:c>
      <x:c r="F715" s="71" t="str">
        <x:v>‏2.49 US$</x:v>
      </x:c>
      <x:c r="G715" s="71" t="str">
        <x:v>ar-JO</x:v>
      </x:c>
    </x:row>
    <x:row r="716" ht="27" customHeight="1">
      <x:c r="A716" s="71" t="str">
        <x:v>约旦</x:v>
      </x:c>
      <x:c r="B716" s="71" t="str">
        <x:v>第3组</x:v>
      </x:c>
      <x:c r="C716" s="71" t="str">
        <x:v>USD</x:v>
      </x:c>
      <x:c r="D716" s="71" t="str">
        <x:v>Study Pass／月</x:v>
      </x:c>
      <x:c r="E716" s="73" t="n">
        <x:v>0.6</x:v>
      </x:c>
      <x:c r="F716" s="71" t="str">
        <x:v>‏0.60 US$</x:v>
      </x:c>
      <x:c r="G716" s="71" t="str">
        <x:v>ar-JO</x:v>
      </x:c>
    </x:row>
    <x:row r="717" ht="27" customHeight="1">
      <x:c r="A717" s="71" t="str">
        <x:v>巴拿马</x:v>
      </x:c>
      <x:c r="B717" s="71" t="str">
        <x:v>第3组</x:v>
      </x:c>
      <x:c r="C717" s="71" t="str">
        <x:v>USD</x:v>
      </x:c>
      <x:c r="D717" s="71" t="str">
        <x:v>Trial／7天</x:v>
      </x:c>
      <x:c r="E717" s="73" t="n">
        <x:v>1.49</x:v>
      </x:c>
      <x:c r="F717" s="71" t="str">
        <x:v>US$ 1.49</x:v>
      </x:c>
      <x:c r="G717" s="71" t="str">
        <x:v>es-PA</x:v>
      </x:c>
    </x:row>
    <x:row r="718" ht="27" customHeight="1">
      <x:c r="A718" s="71" t="str">
        <x:v>巴拿马</x:v>
      </x:c>
      <x:c r="B718" s="71" t="str">
        <x:v>第3组</x:v>
      </x:c>
      <x:c r="C718" s="71" t="str">
        <x:v>USD</x:v>
      </x:c>
      <x:c r="D718" s="71" t="str">
        <x:v>Basic／月</x:v>
      </x:c>
      <x:c r="E718" s="73" t="n">
        <x:v>9.99</x:v>
      </x:c>
      <x:c r="F718" s="71" t="str">
        <x:v>US$ 9.99</x:v>
      </x:c>
      <x:c r="G718" s="71" t="str">
        <x:v>es-PA</x:v>
      </x:c>
    </x:row>
    <x:row r="719" ht="27" customHeight="1">
      <x:c r="A719" s="71" t="str">
        <x:v>巴拿马</x:v>
      </x:c>
      <x:c r="B719" s="71" t="str">
        <x:v>第3组</x:v>
      </x:c>
      <x:c r="C719" s="71" t="str">
        <x:v>USD</x:v>
      </x:c>
      <x:c r="D719" s="71" t="str">
        <x:v>Plus／月</x:v>
      </x:c>
      <x:c r="E719" s="73" t="n">
        <x:v>19.99</x:v>
      </x:c>
      <x:c r="F719" s="71" t="str">
        <x:v>US$ 19.99</x:v>
      </x:c>
      <x:c r="G719" s="71" t="str">
        <x:v>es-PA</x:v>
      </x:c>
    </x:row>
    <x:row r="720" ht="27" customHeight="1">
      <x:c r="A720" s="71" t="str">
        <x:v>巴拿马</x:v>
      </x:c>
      <x:c r="B720" s="71" t="str">
        <x:v>第3组</x:v>
      </x:c>
      <x:c r="C720" s="71" t="str">
        <x:v>USD</x:v>
      </x:c>
      <x:c r="D720" s="71" t="str">
        <x:v>新Pro／月</x:v>
      </x:c>
      <x:c r="E720" s="73" t="n">
        <x:v>14.99</x:v>
      </x:c>
      <x:c r="F720" s="71" t="str">
        <x:v>US$ 14.99</x:v>
      </x:c>
      <x:c r="G720" s="71" t="str">
        <x:v>es-PA</x:v>
      </x:c>
    </x:row>
    <x:row r="721" ht="27" customHeight="1">
      <x:c r="A721" s="71" t="str">
        <x:v>巴拿马</x:v>
      </x:c>
      <x:c r="B721" s="71" t="str">
        <x:v>第3组</x:v>
      </x:c>
      <x:c r="C721" s="71" t="str">
        <x:v>USD</x:v>
      </x:c>
      <x:c r="D721" s="71" t="str">
        <x:v>Basic／年</x:v>
      </x:c>
      <x:c r="E721" s="73" t="n">
        <x:v>47.99</x:v>
      </x:c>
      <x:c r="F721" s="71" t="str">
        <x:v>US$ 47.99</x:v>
      </x:c>
      <x:c r="G721" s="71" t="str">
        <x:v>es-PA</x:v>
      </x:c>
    </x:row>
    <x:row r="722" ht="27" customHeight="1">
      <x:c r="A722" s="71" t="str">
        <x:v>巴拿马</x:v>
      </x:c>
      <x:c r="B722" s="71" t="str">
        <x:v>第3组</x:v>
      </x:c>
      <x:c r="C722" s="71" t="str">
        <x:v>USD</x:v>
      </x:c>
      <x:c r="D722" s="71" t="str">
        <x:v>Plus／年</x:v>
      </x:c>
      <x:c r="E722" s="73" t="n">
        <x:v>95.99</x:v>
      </x:c>
      <x:c r="F722" s="71" t="str">
        <x:v>US$ 95.99</x:v>
      </x:c>
      <x:c r="G722" s="71" t="str">
        <x:v>es-PA</x:v>
      </x:c>
    </x:row>
    <x:row r="723" ht="27" customHeight="1">
      <x:c r="A723" s="71" t="str">
        <x:v>巴拿马</x:v>
      </x:c>
      <x:c r="B723" s="71" t="str">
        <x:v>第3组</x:v>
      </x:c>
      <x:c r="C723" s="71" t="str">
        <x:v>USD</x:v>
      </x:c>
      <x:c r="D723" s="71" t="str">
        <x:v>新Pro／年</x:v>
      </x:c>
      <x:c r="E723" s="73" t="n">
        <x:v>179.88</x:v>
      </x:c>
      <x:c r="F723" s="71" t="str">
        <x:v>US$ 179.88</x:v>
      </x:c>
      <x:c r="G723" s="71" t="str">
        <x:v>es-PA</x:v>
      </x:c>
    </x:row>
    <x:row r="724" ht="27" customHeight="1">
      <x:c r="A724" s="71" t="str">
        <x:v>巴拿马</x:v>
      </x:c>
      <x:c r="B724" s="71" t="str">
        <x:v>第3组</x:v>
      </x:c>
      <x:c r="C724" s="71" t="str">
        <x:v>USD</x:v>
      </x:c>
      <x:c r="D724" s="71" t="str">
        <x:v>作业包／3份</x:v>
      </x:c>
      <x:c r="E724" s="73" t="n">
        <x:v>4.99</x:v>
      </x:c>
      <x:c r="F724" s="71" t="str">
        <x:v>US$ 4.99</x:v>
      </x:c>
      <x:c r="G724" s="71" t="str">
        <x:v>es-PA</x:v>
      </x:c>
    </x:row>
    <x:row r="725" ht="27" customHeight="1">
      <x:c r="A725" s="71" t="str">
        <x:v>巴拿马</x:v>
      </x:c>
      <x:c r="B725" s="71" t="str">
        <x:v>第3组</x:v>
      </x:c>
      <x:c r="C725" s="71" t="str">
        <x:v>USD</x:v>
      </x:c>
      <x:c r="D725" s="71" t="str">
        <x:v>检测包／5份</x:v>
      </x:c>
      <x:c r="E725" s="73" t="n">
        <x:v>2.49</x:v>
      </x:c>
      <x:c r="F725" s="71" t="str">
        <x:v>US$ 2.49</x:v>
      </x:c>
      <x:c r="G725" s="71" t="str">
        <x:v>es-PA</x:v>
      </x:c>
    </x:row>
    <x:row r="726" ht="27" customHeight="1">
      <x:c r="A726" s="71" t="str">
        <x:v>巴拿马</x:v>
      </x:c>
      <x:c r="B726" s="71" t="str">
        <x:v>第3组</x:v>
      </x:c>
      <x:c r="C726" s="71" t="str">
        <x:v>USD</x:v>
      </x:c>
      <x:c r="D726" s="71" t="str">
        <x:v>Humanizer包／3份</x:v>
      </x:c>
      <x:c r="E726" s="73" t="n">
        <x:v>3.49</x:v>
      </x:c>
      <x:c r="F726" s="71" t="str">
        <x:v>US$ 3.49</x:v>
      </x:c>
      <x:c r="G726" s="71" t="str">
        <x:v>es-PA</x:v>
      </x:c>
    </x:row>
    <x:row r="727" ht="27" customHeight="1">
      <x:c r="A727" s="71" t="str">
        <x:v>巴拿马</x:v>
      </x:c>
      <x:c r="B727" s="71" t="str">
        <x:v>第3组</x:v>
      </x:c>
      <x:c r="C727" s="71" t="str">
        <x:v>USD</x:v>
      </x:c>
      <x:c r="D727" s="71" t="str">
        <x:v>Study Pass／月</x:v>
      </x:c>
      <x:c r="E727" s="73" t="n">
        <x:v>0.6</x:v>
      </x:c>
      <x:c r="F727" s="71" t="str">
        <x:v>US$ 0.60</x:v>
      </x:c>
      <x:c r="G727" s="71" t="str">
        <x:v>es-PA</x:v>
      </x:c>
    </x:row>
    <x:row r="728" ht="27" customHeight="1">
      <x:c r="A728" s="71" t="str">
        <x:v>圣卢西亚</x:v>
      </x:c>
      <x:c r="B728" s="71" t="str">
        <x:v>第3组</x:v>
      </x:c>
      <x:c r="C728" s="71" t="str">
        <x:v>XCD</x:v>
      </x:c>
      <x:c r="D728" s="71" t="str">
        <x:v>Trial／7天</x:v>
      </x:c>
      <x:c r="E728" s="73" t="n">
        <x:v>3.49</x:v>
      </x:c>
      <x:c r="F728" s="71" t="str">
        <x:v>$3.49</x:v>
      </x:c>
      <x:c r="G728" s="71" t="str">
        <x:v>en-LC</x:v>
      </x:c>
    </x:row>
    <x:row r="729" ht="27" customHeight="1">
      <x:c r="A729" s="71" t="str">
        <x:v>圣卢西亚</x:v>
      </x:c>
      <x:c r="B729" s="71" t="str">
        <x:v>第3组</x:v>
      </x:c>
      <x:c r="C729" s="71" t="str">
        <x:v>XCD</x:v>
      </x:c>
      <x:c r="D729" s="71" t="str">
        <x:v>Basic／月</x:v>
      </x:c>
      <x:c r="E729" s="73" t="n">
        <x:v>23.99</x:v>
      </x:c>
      <x:c r="F729" s="71" t="str">
        <x:v>$23.99</x:v>
      </x:c>
      <x:c r="G729" s="71" t="str">
        <x:v>en-LC</x:v>
      </x:c>
    </x:row>
    <x:row r="730" ht="27" customHeight="1">
      <x:c r="A730" s="71" t="str">
        <x:v>圣卢西亚</x:v>
      </x:c>
      <x:c r="B730" s="71" t="str">
        <x:v>第3组</x:v>
      </x:c>
      <x:c r="C730" s="71" t="str">
        <x:v>XCD</x:v>
      </x:c>
      <x:c r="D730" s="71" t="str">
        <x:v>Plus／月</x:v>
      </x:c>
      <x:c r="E730" s="73" t="n">
        <x:v>48.99</x:v>
      </x:c>
      <x:c r="F730" s="71" t="str">
        <x:v>$48.99</x:v>
      </x:c>
      <x:c r="G730" s="71" t="str">
        <x:v>en-LC</x:v>
      </x:c>
    </x:row>
    <x:row r="731" ht="27" customHeight="1">
      <x:c r="A731" s="71" t="str">
        <x:v>圣卢西亚</x:v>
      </x:c>
      <x:c r="B731" s="71" t="str">
        <x:v>第3组</x:v>
      </x:c>
      <x:c r="C731" s="71" t="str">
        <x:v>XCD</x:v>
      </x:c>
      <x:c r="D731" s="71" t="str">
        <x:v>新Pro／月</x:v>
      </x:c>
      <x:c r="E731" s="73" t="n">
        <x:v>35.99</x:v>
      </x:c>
      <x:c r="F731" s="71" t="str">
        <x:v>$35.99</x:v>
      </x:c>
      <x:c r="G731" s="71" t="str">
        <x:v>en-LC</x:v>
      </x:c>
    </x:row>
    <x:row r="732" ht="27" customHeight="1">
      <x:c r="A732" s="71" t="str">
        <x:v>圣卢西亚</x:v>
      </x:c>
      <x:c r="B732" s="71" t="str">
        <x:v>第3组</x:v>
      </x:c>
      <x:c r="C732" s="71" t="str">
        <x:v>XCD</x:v>
      </x:c>
      <x:c r="D732" s="71" t="str">
        <x:v>Basic／年</x:v>
      </x:c>
      <x:c r="E732" s="73" t="n">
        <x:v>115.99</x:v>
      </x:c>
      <x:c r="F732" s="71" t="str">
        <x:v>$115.99</x:v>
      </x:c>
      <x:c r="G732" s="71" t="str">
        <x:v>en-LC</x:v>
      </x:c>
    </x:row>
    <x:row r="733" ht="27" customHeight="1">
      <x:c r="A733" s="71" t="str">
        <x:v>圣卢西亚</x:v>
      </x:c>
      <x:c r="B733" s="71" t="str">
        <x:v>第3组</x:v>
      </x:c>
      <x:c r="C733" s="71" t="str">
        <x:v>XCD</x:v>
      </x:c>
      <x:c r="D733" s="71" t="str">
        <x:v>Plus／年</x:v>
      </x:c>
      <x:c r="E733" s="73" t="n">
        <x:v>232.99</x:v>
      </x:c>
      <x:c r="F733" s="71" t="str">
        <x:v>$232.99</x:v>
      </x:c>
      <x:c r="G733" s="71" t="str">
        <x:v>en-LC</x:v>
      </x:c>
    </x:row>
    <x:row r="734" ht="27" customHeight="1">
      <x:c r="A734" s="71" t="str">
        <x:v>圣卢西亚</x:v>
      </x:c>
      <x:c r="B734" s="71" t="str">
        <x:v>第3组</x:v>
      </x:c>
      <x:c r="C734" s="71" t="str">
        <x:v>XCD</x:v>
      </x:c>
      <x:c r="D734" s="71" t="str">
        <x:v>新Pro／年</x:v>
      </x:c>
      <x:c r="E734" s="73" t="n">
        <x:v>431.88</x:v>
      </x:c>
      <x:c r="F734" s="71" t="str">
        <x:v>$431.88</x:v>
      </x:c>
      <x:c r="G734" s="71" t="str">
        <x:v>en-LC</x:v>
      </x:c>
    </x:row>
    <x:row r="735" ht="27" customHeight="1">
      <x:c r="A735" s="71" t="str">
        <x:v>圣卢西亚</x:v>
      </x:c>
      <x:c r="B735" s="71" t="str">
        <x:v>第3组</x:v>
      </x:c>
      <x:c r="C735" s="71" t="str">
        <x:v>XCD</x:v>
      </x:c>
      <x:c r="D735" s="71" t="str">
        <x:v>作业包／3份</x:v>
      </x:c>
      <x:c r="E735" s="73" t="n">
        <x:v>11.99</x:v>
      </x:c>
      <x:c r="F735" s="71" t="str">
        <x:v>$11.99</x:v>
      </x:c>
      <x:c r="G735" s="71" t="str">
        <x:v>en-LC</x:v>
      </x:c>
    </x:row>
    <x:row r="736" ht="27" customHeight="1">
      <x:c r="A736" s="71" t="str">
        <x:v>圣卢西亚</x:v>
      </x:c>
      <x:c r="B736" s="71" t="str">
        <x:v>第3组</x:v>
      </x:c>
      <x:c r="C736" s="71" t="str">
        <x:v>XCD</x:v>
      </x:c>
      <x:c r="D736" s="71" t="str">
        <x:v>检测包／5份</x:v>
      </x:c>
      <x:c r="E736" s="73" t="n">
        <x:v>5.99</x:v>
      </x:c>
      <x:c r="F736" s="71" t="str">
        <x:v>$5.99</x:v>
      </x:c>
      <x:c r="G736" s="71" t="str">
        <x:v>en-LC</x:v>
      </x:c>
    </x:row>
    <x:row r="737" ht="27" customHeight="1">
      <x:c r="A737" s="71" t="str">
        <x:v>圣卢西亚</x:v>
      </x:c>
      <x:c r="B737" s="71" t="str">
        <x:v>第3组</x:v>
      </x:c>
      <x:c r="C737" s="71" t="str">
        <x:v>XCD</x:v>
      </x:c>
      <x:c r="D737" s="71" t="str">
        <x:v>Humanizer包／3份</x:v>
      </x:c>
      <x:c r="E737" s="73" t="n">
        <x:v>8.49</x:v>
      </x:c>
      <x:c r="F737" s="71" t="str">
        <x:v>$8.49</x:v>
      </x:c>
      <x:c r="G737" s="71" t="str">
        <x:v>en-LC</x:v>
      </x:c>
    </x:row>
    <x:row r="738" ht="27" customHeight="1">
      <x:c r="A738" s="71" t="str">
        <x:v>圣卢西亚</x:v>
      </x:c>
      <x:c r="B738" s="71" t="str">
        <x:v>第3组</x:v>
      </x:c>
      <x:c r="C738" s="71" t="str">
        <x:v>XCD</x:v>
      </x:c>
      <x:c r="D738" s="71" t="str">
        <x:v>Study Pass／月</x:v>
      </x:c>
      <x:c r="E738" s="73" t="n">
        <x:v>1.7</x:v>
      </x:c>
      <x:c r="F738" s="71" t="str">
        <x:v>$1.70</x:v>
      </x:c>
      <x:c r="G738" s="71" t="str">
        <x:v>en-LC</x:v>
      </x:c>
    </x:row>
    <x:row r="739" ht="27" customHeight="1">
      <x:c r="A739" s="71" t="str">
        <x:v>西班牙</x:v>
      </x:c>
      <x:c r="B739" s="71" t="str">
        <x:v>第3组</x:v>
      </x:c>
      <x:c r="C739" s="71" t="str">
        <x:v>EUR</x:v>
      </x:c>
      <x:c r="D739" s="71" t="str">
        <x:v>Trial／7天</x:v>
      </x:c>
      <x:c r="E739" s="73" t="n">
        <x:v>1.69</x:v>
      </x:c>
      <x:c r="F739" s="71" t="str">
        <x:v>1,69 €</x:v>
      </x:c>
      <x:c r="G739" s="71" t="str">
        <x:v>es-ES</x:v>
      </x:c>
    </x:row>
    <x:row r="740" ht="27" customHeight="1">
      <x:c r="A740" s="71" t="str">
        <x:v>西班牙</x:v>
      </x:c>
      <x:c r="B740" s="71" t="str">
        <x:v>第3组</x:v>
      </x:c>
      <x:c r="C740" s="71" t="str">
        <x:v>EUR</x:v>
      </x:c>
      <x:c r="D740" s="71" t="str">
        <x:v>Basic／月</x:v>
      </x:c>
      <x:c r="E740" s="73" t="n">
        <x:v>11.99</x:v>
      </x:c>
      <x:c r="F740" s="71" t="str">
        <x:v>11,99 €</x:v>
      </x:c>
      <x:c r="G740" s="71" t="str">
        <x:v>es-ES</x:v>
      </x:c>
    </x:row>
    <x:row r="741" ht="27" customHeight="1">
      <x:c r="A741" s="71" t="str">
        <x:v>西班牙</x:v>
      </x:c>
      <x:c r="B741" s="71" t="str">
        <x:v>第3组</x:v>
      </x:c>
      <x:c r="C741" s="71" t="str">
        <x:v>EUR</x:v>
      </x:c>
      <x:c r="D741" s="71" t="str">
        <x:v>Plus／月</x:v>
      </x:c>
      <x:c r="E741" s="73" t="n">
        <x:v>22.99</x:v>
      </x:c>
      <x:c r="F741" s="71" t="str">
        <x:v>22,99 €</x:v>
      </x:c>
      <x:c r="G741" s="71" t="str">
        <x:v>es-ES</x:v>
      </x:c>
    </x:row>
    <x:row r="742" ht="27" customHeight="1">
      <x:c r="A742" s="71" t="str">
        <x:v>西班牙</x:v>
      </x:c>
      <x:c r="B742" s="71" t="str">
        <x:v>第3组</x:v>
      </x:c>
      <x:c r="C742" s="71" t="str">
        <x:v>EUR</x:v>
      </x:c>
      <x:c r="D742" s="71" t="str">
        <x:v>新Pro／月</x:v>
      </x:c>
      <x:c r="E742" s="73" t="n">
        <x:v>16.99</x:v>
      </x:c>
      <x:c r="F742" s="71" t="str">
        <x:v>16,99 €</x:v>
      </x:c>
      <x:c r="G742" s="71" t="str">
        <x:v>es-ES</x:v>
      </x:c>
    </x:row>
    <x:row r="743" ht="27" customHeight="1">
      <x:c r="A743" s="71" t="str">
        <x:v>西班牙</x:v>
      </x:c>
      <x:c r="B743" s="71" t="str">
        <x:v>第3组</x:v>
      </x:c>
      <x:c r="C743" s="71" t="str">
        <x:v>EUR</x:v>
      </x:c>
      <x:c r="D743" s="71" t="str">
        <x:v>Basic／年</x:v>
      </x:c>
      <x:c r="E743" s="73" t="n">
        <x:v>56.99</x:v>
      </x:c>
      <x:c r="F743" s="71" t="str">
        <x:v>56,99 €</x:v>
      </x:c>
      <x:c r="G743" s="71" t="str">
        <x:v>es-ES</x:v>
      </x:c>
    </x:row>
    <x:row r="744" ht="27" customHeight="1">
      <x:c r="A744" s="71" t="str">
        <x:v>西班牙</x:v>
      </x:c>
      <x:c r="B744" s="71" t="str">
        <x:v>第3组</x:v>
      </x:c>
      <x:c r="C744" s="71" t="str">
        <x:v>EUR</x:v>
      </x:c>
      <x:c r="D744" s="71" t="str">
        <x:v>Plus／年</x:v>
      </x:c>
      <x:c r="E744" s="73" t="n">
        <x:v>110.99</x:v>
      </x:c>
      <x:c r="F744" s="71" t="str">
        <x:v>110,99 €</x:v>
      </x:c>
      <x:c r="G744" s="71" t="str">
        <x:v>es-ES</x:v>
      </x:c>
    </x:row>
    <x:row r="745" ht="27" customHeight="1">
      <x:c r="A745" s="71" t="str">
        <x:v>西班牙</x:v>
      </x:c>
      <x:c r="B745" s="71" t="str">
        <x:v>第3组</x:v>
      </x:c>
      <x:c r="C745" s="71" t="str">
        <x:v>EUR</x:v>
      </x:c>
      <x:c r="D745" s="71" t="str">
        <x:v>新Pro／年</x:v>
      </x:c>
      <x:c r="E745" s="73" t="n">
        <x:v>203.88</x:v>
      </x:c>
      <x:c r="F745" s="71" t="str">
        <x:v>203,88 €</x:v>
      </x:c>
      <x:c r="G745" s="71" t="str">
        <x:v>es-ES</x:v>
      </x:c>
    </x:row>
    <x:row r="746" ht="27" customHeight="1">
      <x:c r="A746" s="71" t="str">
        <x:v>西班牙</x:v>
      </x:c>
      <x:c r="B746" s="71" t="str">
        <x:v>第3组</x:v>
      </x:c>
      <x:c r="C746" s="71" t="str">
        <x:v>EUR</x:v>
      </x:c>
      <x:c r="D746" s="71" t="str">
        <x:v>作业包／3份</x:v>
      </x:c>
      <x:c r="E746" s="73" t="n">
        <x:v>5.99</x:v>
      </x:c>
      <x:c r="F746" s="71" t="str">
        <x:v>5,99 €</x:v>
      </x:c>
      <x:c r="G746" s="71" t="str">
        <x:v>es-ES</x:v>
      </x:c>
    </x:row>
    <x:row r="747" ht="27" customHeight="1">
      <x:c r="A747" s="71" t="str">
        <x:v>西班牙</x:v>
      </x:c>
      <x:c r="B747" s="71" t="str">
        <x:v>第3组</x:v>
      </x:c>
      <x:c r="C747" s="71" t="str">
        <x:v>EUR</x:v>
      </x:c>
      <x:c r="D747" s="71" t="str">
        <x:v>检测包／5份</x:v>
      </x:c>
      <x:c r="E747" s="73" t="n">
        <x:v>2.99</x:v>
      </x:c>
      <x:c r="F747" s="71" t="str">
        <x:v>2,99 €</x:v>
      </x:c>
      <x:c r="G747" s="71" t="str">
        <x:v>es-ES</x:v>
      </x:c>
    </x:row>
    <x:row r="748" ht="27" customHeight="1">
      <x:c r="A748" s="71" t="str">
        <x:v>西班牙</x:v>
      </x:c>
      <x:c r="B748" s="71" t="str">
        <x:v>第3组</x:v>
      </x:c>
      <x:c r="C748" s="71" t="str">
        <x:v>EUR</x:v>
      </x:c>
      <x:c r="D748" s="71" t="str">
        <x:v>Humanizer包／3份</x:v>
      </x:c>
      <x:c r="E748" s="73" t="n">
        <x:v>3.99</x:v>
      </x:c>
      <x:c r="F748" s="71" t="str">
        <x:v>3,99 €</x:v>
      </x:c>
      <x:c r="G748" s="71" t="str">
        <x:v>es-ES</x:v>
      </x:c>
    </x:row>
    <x:row r="749" ht="27" customHeight="1">
      <x:c r="A749" s="71" t="str">
        <x:v>西班牙</x:v>
      </x:c>
      <x:c r="B749" s="71" t="str">
        <x:v>第3组</x:v>
      </x:c>
      <x:c r="C749" s="71" t="str">
        <x:v>EUR</x:v>
      </x:c>
      <x:c r="D749" s="71" t="str">
        <x:v>Study Pass／月</x:v>
      </x:c>
      <x:c r="E749" s="73" t="n">
        <x:v>0.57</x:v>
      </x:c>
      <x:c r="F749" s="71" t="str">
        <x:v>0,57 €</x:v>
      </x:c>
      <x:c r="G749" s="71" t="str">
        <x:v>es-ES</x:v>
      </x:c>
    </x:row>
    <x:row r="750" ht="27" customHeight="1">
      <x:c r="A750" s="71" t="str">
        <x:v>斯里兰卡</x:v>
      </x:c>
      <x:c r="B750" s="71" t="str">
        <x:v>第3组</x:v>
      </x:c>
      <x:c r="C750" s="71" t="str">
        <x:v>LKR</x:v>
      </x:c>
      <x:c r="D750" s="71" t="str">
        <x:v>Trial／7天</x:v>
      </x:c>
      <x:c r="E750" s="72" t="n">
        <x:v>249</x:v>
      </x:c>
      <x:c r="F750" s="71" t="str">
        <x:v>රු. 249</x:v>
      </x:c>
      <x:c r="G750" s="71" t="str">
        <x:v>si-LK</x:v>
      </x:c>
    </x:row>
    <x:row r="751" ht="27" customHeight="1">
      <x:c r="A751" s="71" t="str">
        <x:v>斯里兰卡</x:v>
      </x:c>
      <x:c r="B751" s="71" t="str">
        <x:v>第3组</x:v>
      </x:c>
      <x:c r="C751" s="71" t="str">
        <x:v>LKR</x:v>
      </x:c>
      <x:c r="D751" s="71" t="str">
        <x:v>Basic／月</x:v>
      </x:c>
      <x:c r="E751" s="72" t="n">
        <x:v>1699</x:v>
      </x:c>
      <x:c r="F751" s="71" t="str">
        <x:v>රු. 1,699</x:v>
      </x:c>
      <x:c r="G751" s="71" t="str">
        <x:v>si-LK</x:v>
      </x:c>
    </x:row>
    <x:row r="752" ht="27" customHeight="1">
      <x:c r="A752" s="71" t="str">
        <x:v>斯里兰卡</x:v>
      </x:c>
      <x:c r="B752" s="71" t="str">
        <x:v>第3组</x:v>
      </x:c>
      <x:c r="C752" s="71" t="str">
        <x:v>LKR</x:v>
      </x:c>
      <x:c r="D752" s="71" t="str">
        <x:v>Plus／月</x:v>
      </x:c>
      <x:c r="E752" s="72" t="n">
        <x:v>3299</x:v>
      </x:c>
      <x:c r="F752" s="71" t="str">
        <x:v>රු. 3,299</x:v>
      </x:c>
      <x:c r="G752" s="71" t="str">
        <x:v>si-LK</x:v>
      </x:c>
    </x:row>
    <x:row r="753" ht="27" customHeight="1">
      <x:c r="A753" s="71" t="str">
        <x:v>斯里兰卡</x:v>
      </x:c>
      <x:c r="B753" s="71" t="str">
        <x:v>第3组</x:v>
      </x:c>
      <x:c r="C753" s="71" t="str">
        <x:v>LKR</x:v>
      </x:c>
      <x:c r="D753" s="71" t="str">
        <x:v>新Pro／月</x:v>
      </x:c>
      <x:c r="E753" s="72" t="n">
        <x:v>2499</x:v>
      </x:c>
      <x:c r="F753" s="71" t="str">
        <x:v>රු. 2,499</x:v>
      </x:c>
      <x:c r="G753" s="71" t="str">
        <x:v>si-LK</x:v>
      </x:c>
    </x:row>
    <x:row r="754" ht="27" customHeight="1">
      <x:c r="A754" s="71" t="str">
        <x:v>斯里兰卡</x:v>
      </x:c>
      <x:c r="B754" s="71" t="str">
        <x:v>第3组</x:v>
      </x:c>
      <x:c r="C754" s="71" t="str">
        <x:v>LKR</x:v>
      </x:c>
      <x:c r="D754" s="71" t="str">
        <x:v>Basic／年</x:v>
      </x:c>
      <x:c r="E754" s="72" t="n">
        <x:v>7999</x:v>
      </x:c>
      <x:c r="F754" s="71" t="str">
        <x:v>රු. 7,999</x:v>
      </x:c>
      <x:c r="G754" s="71" t="str">
        <x:v>si-LK</x:v>
      </x:c>
    </x:row>
    <x:row r="755" ht="27" customHeight="1">
      <x:c r="A755" s="71" t="str">
        <x:v>斯里兰卡</x:v>
      </x:c>
      <x:c r="B755" s="71" t="str">
        <x:v>第3组</x:v>
      </x:c>
      <x:c r="C755" s="71" t="str">
        <x:v>LKR</x:v>
      </x:c>
      <x:c r="D755" s="71" t="str">
        <x:v>Plus／年</x:v>
      </x:c>
      <x:c r="E755" s="72" t="n">
        <x:v>15900</x:v>
      </x:c>
      <x:c r="F755" s="71" t="str">
        <x:v>රු. 15,900</x:v>
      </x:c>
      <x:c r="G755" s="71" t="str">
        <x:v>si-LK</x:v>
      </x:c>
    </x:row>
    <x:row r="756" ht="27" customHeight="1">
      <x:c r="A756" s="71" t="str">
        <x:v>斯里兰卡</x:v>
      </x:c>
      <x:c r="B756" s="71" t="str">
        <x:v>第3组</x:v>
      </x:c>
      <x:c r="C756" s="71" t="str">
        <x:v>LKR</x:v>
      </x:c>
      <x:c r="D756" s="71" t="str">
        <x:v>新Pro／年</x:v>
      </x:c>
      <x:c r="E756" s="72" t="n">
        <x:v>29988</x:v>
      </x:c>
      <x:c r="F756" s="71" t="str">
        <x:v>රු. 29,988</x:v>
      </x:c>
      <x:c r="G756" s="71" t="str">
        <x:v>si-LK</x:v>
      </x:c>
    </x:row>
    <x:row r="757" ht="27" customHeight="1">
      <x:c r="A757" s="71" t="str">
        <x:v>斯里兰卡</x:v>
      </x:c>
      <x:c r="B757" s="71" t="str">
        <x:v>第3组</x:v>
      </x:c>
      <x:c r="C757" s="71" t="str">
        <x:v>LKR</x:v>
      </x:c>
      <x:c r="D757" s="71" t="str">
        <x:v>作业包／3份</x:v>
      </x:c>
      <x:c r="E757" s="72" t="n">
        <x:v>829</x:v>
      </x:c>
      <x:c r="F757" s="71" t="str">
        <x:v>රු. 829</x:v>
      </x:c>
      <x:c r="G757" s="71" t="str">
        <x:v>si-LK</x:v>
      </x:c>
    </x:row>
    <x:row r="758" ht="27" customHeight="1">
      <x:c r="A758" s="71" t="str">
        <x:v>斯里兰卡</x:v>
      </x:c>
      <x:c r="B758" s="71" t="str">
        <x:v>第3组</x:v>
      </x:c>
      <x:c r="C758" s="71" t="str">
        <x:v>LKR</x:v>
      </x:c>
      <x:c r="D758" s="71" t="str">
        <x:v>检测包／5份</x:v>
      </x:c>
      <x:c r="E758" s="72" t="n">
        <x:v>409</x:v>
      </x:c>
      <x:c r="F758" s="71" t="str">
        <x:v>රු. 409</x:v>
      </x:c>
      <x:c r="G758" s="71" t="str">
        <x:v>si-LK</x:v>
      </x:c>
    </x:row>
    <x:row r="759" ht="27" customHeight="1">
      <x:c r="A759" s="71" t="str">
        <x:v>斯里兰卡</x:v>
      </x:c>
      <x:c r="B759" s="71" t="str">
        <x:v>第3组</x:v>
      </x:c>
      <x:c r="C759" s="71" t="str">
        <x:v>LKR</x:v>
      </x:c>
      <x:c r="D759" s="71" t="str">
        <x:v>Humanizer包／3份</x:v>
      </x:c>
      <x:c r="E759" s="72" t="n">
        <x:v>579</x:v>
      </x:c>
      <x:c r="F759" s="71" t="str">
        <x:v>රු. 579</x:v>
      </x:c>
      <x:c r="G759" s="71" t="str">
        <x:v>si-LK</x:v>
      </x:c>
    </x:row>
    <x:row r="760" ht="27" customHeight="1">
      <x:c r="A760" s="71" t="str">
        <x:v>斯里兰卡</x:v>
      </x:c>
      <x:c r="B760" s="71" t="str">
        <x:v>第3组</x:v>
      </x:c>
      <x:c r="C760" s="71" t="str">
        <x:v>LKR</x:v>
      </x:c>
      <x:c r="D760" s="71" t="str">
        <x:v>Study Pass／月</x:v>
      </x:c>
      <x:c r="E760" s="72" t="n">
        <x:v>210</x:v>
      </x:c>
      <x:c r="F760" s="71" t="str">
        <x:v>රු. 210</x:v>
      </x:c>
      <x:c r="G760" s="71" t="str">
        <x:v>si-LK</x:v>
      </x:c>
    </x:row>
    <x:row r="761" ht="27" customHeight="1">
      <x:c r="A761" s="71" t="str">
        <x:v>坦桑尼亚</x:v>
      </x:c>
      <x:c r="B761" s="71" t="str">
        <x:v>第3组</x:v>
      </x:c>
      <x:c r="C761" s="71" t="str">
        <x:v>TZS</x:v>
      </x:c>
      <x:c r="D761" s="71" t="str">
        <x:v>Trial／7天</x:v>
      </x:c>
      <x:c r="E761" s="72" t="n">
        <x:v>1599</x:v>
      </x:c>
      <x:c r="F761" s="71" t="str">
        <x:v>TSh 1,599</x:v>
      </x:c>
      <x:c r="G761" s="71" t="str">
        <x:v>sw-TZ</x:v>
      </x:c>
    </x:row>
    <x:row r="762" ht="27" customHeight="1">
      <x:c r="A762" s="71" t="str">
        <x:v>坦桑尼亚</x:v>
      </x:c>
      <x:c r="B762" s="71" t="str">
        <x:v>第3组</x:v>
      </x:c>
      <x:c r="C762" s="71" t="str">
        <x:v>TZS</x:v>
      </x:c>
      <x:c r="D762" s="71" t="str">
        <x:v>Basic／月</x:v>
      </x:c>
      <x:c r="E762" s="72" t="n">
        <x:v>10900</x:v>
      </x:c>
      <x:c r="F762" s="71" t="str">
        <x:v>TSh 10,900</x:v>
      </x:c>
      <x:c r="G762" s="71" t="str">
        <x:v>sw-TZ</x:v>
      </x:c>
    </x:row>
    <x:row r="763" ht="27" customHeight="1">
      <x:c r="A763" s="71" t="str">
        <x:v>坦桑尼亚</x:v>
      </x:c>
      <x:c r="B763" s="71" t="str">
        <x:v>第3组</x:v>
      </x:c>
      <x:c r="C763" s="71" t="str">
        <x:v>TZS</x:v>
      </x:c>
      <x:c r="D763" s="71" t="str">
        <x:v>Plus／月</x:v>
      </x:c>
      <x:c r="E763" s="72" t="n">
        <x:v>20900</x:v>
      </x:c>
      <x:c r="F763" s="71" t="str">
        <x:v>TSh 20,900</x:v>
      </x:c>
      <x:c r="G763" s="71" t="str">
        <x:v>sw-TZ</x:v>
      </x:c>
    </x:row>
    <x:row r="764" ht="27" customHeight="1">
      <x:c r="A764" s="71" t="str">
        <x:v>坦桑尼亚</x:v>
      </x:c>
      <x:c r="B764" s="71" t="str">
        <x:v>第3组</x:v>
      </x:c>
      <x:c r="C764" s="71" t="str">
        <x:v>TZS</x:v>
      </x:c>
      <x:c r="D764" s="71" t="str">
        <x:v>新Pro／月</x:v>
      </x:c>
      <x:c r="E764" s="72" t="n">
        <x:v>15900</x:v>
      </x:c>
      <x:c r="F764" s="71" t="str">
        <x:v>TSh 15,900</x:v>
      </x:c>
      <x:c r="G764" s="71" t="str">
        <x:v>sw-TZ</x:v>
      </x:c>
    </x:row>
    <x:row r="765" ht="27" customHeight="1">
      <x:c r="A765" s="71" t="str">
        <x:v>坦桑尼亚</x:v>
      </x:c>
      <x:c r="B765" s="71" t="str">
        <x:v>第3组</x:v>
      </x:c>
      <x:c r="C765" s="71" t="str">
        <x:v>TZS</x:v>
      </x:c>
      <x:c r="D765" s="71" t="str">
        <x:v>Basic／年</x:v>
      </x:c>
      <x:c r="E765" s="72" t="n">
        <x:v>51900</x:v>
      </x:c>
      <x:c r="F765" s="71" t="str">
        <x:v>TSh 51,900</x:v>
      </x:c>
      <x:c r="G765" s="71" t="str">
        <x:v>sw-TZ</x:v>
      </x:c>
    </x:row>
    <x:row r="766" ht="27" customHeight="1">
      <x:c r="A766" s="71" t="str">
        <x:v>坦桑尼亚</x:v>
      </x:c>
      <x:c r="B766" s="71" t="str">
        <x:v>第3组</x:v>
      </x:c>
      <x:c r="C766" s="71" t="str">
        <x:v>TZS</x:v>
      </x:c>
      <x:c r="D766" s="71" t="str">
        <x:v>Plus／年</x:v>
      </x:c>
      <x:c r="E766" s="72" t="n">
        <x:v>99000</x:v>
      </x:c>
      <x:c r="F766" s="71" t="str">
        <x:v>TSh 99,000</x:v>
      </x:c>
      <x:c r="G766" s="71" t="str">
        <x:v>sw-TZ</x:v>
      </x:c>
    </x:row>
    <x:row r="767" ht="27" customHeight="1">
      <x:c r="A767" s="71" t="str">
        <x:v>坦桑尼亚</x:v>
      </x:c>
      <x:c r="B767" s="71" t="str">
        <x:v>第3组</x:v>
      </x:c>
      <x:c r="C767" s="71" t="str">
        <x:v>TZS</x:v>
      </x:c>
      <x:c r="D767" s="71" t="str">
        <x:v>新Pro／年</x:v>
      </x:c>
      <x:c r="E767" s="72" t="n">
        <x:v>190800</x:v>
      </x:c>
      <x:c r="F767" s="71" t="str">
        <x:v>TSh 190,800</x:v>
      </x:c>
      <x:c r="G767" s="71" t="str">
        <x:v>sw-TZ</x:v>
      </x:c>
    </x:row>
    <x:row r="768" ht="27" customHeight="1">
      <x:c r="A768" s="71" t="str">
        <x:v>坦桑尼亚</x:v>
      </x:c>
      <x:c r="B768" s="71" t="str">
        <x:v>第3组</x:v>
      </x:c>
      <x:c r="C768" s="71" t="str">
        <x:v>TZS</x:v>
      </x:c>
      <x:c r="D768" s="71" t="str">
        <x:v>作业包／3份</x:v>
      </x:c>
      <x:c r="E768" s="72" t="n">
        <x:v>5299</x:v>
      </x:c>
      <x:c r="F768" s="71" t="str">
        <x:v>TSh 5,299</x:v>
      </x:c>
      <x:c r="G768" s="71" t="str">
        <x:v>sw-TZ</x:v>
      </x:c>
    </x:row>
    <x:row r="769" ht="27" customHeight="1">
      <x:c r="A769" s="71" t="str">
        <x:v>坦桑尼亚</x:v>
      </x:c>
      <x:c r="B769" s="71" t="str">
        <x:v>第3组</x:v>
      </x:c>
      <x:c r="C769" s="71" t="str">
        <x:v>TZS</x:v>
      </x:c>
      <x:c r="D769" s="71" t="str">
        <x:v>检测包／5份</x:v>
      </x:c>
      <x:c r="E769" s="72" t="n">
        <x:v>2599</x:v>
      </x:c>
      <x:c r="F769" s="71" t="str">
        <x:v>TSh 2,599</x:v>
      </x:c>
      <x:c r="G769" s="71" t="str">
        <x:v>sw-TZ</x:v>
      </x:c>
    </x:row>
    <x:row r="770" ht="27" customHeight="1">
      <x:c r="A770" s="71" t="str">
        <x:v>坦桑尼亚</x:v>
      </x:c>
      <x:c r="B770" s="71" t="str">
        <x:v>第3组</x:v>
      </x:c>
      <x:c r="C770" s="71" t="str">
        <x:v>TZS</x:v>
      </x:c>
      <x:c r="D770" s="71" t="str">
        <x:v>Humanizer包／3份</x:v>
      </x:c>
      <x:c r="E770" s="72" t="n">
        <x:v>3699</x:v>
      </x:c>
      <x:c r="F770" s="71" t="str">
        <x:v>TSh 3,699</x:v>
      </x:c>
      <x:c r="G770" s="71" t="str">
        <x:v>sw-TZ</x:v>
      </x:c>
    </x:row>
    <x:row r="771" ht="27" customHeight="1">
      <x:c r="A771" s="71" t="str">
        <x:v>坦桑尼亚</x:v>
      </x:c>
      <x:c r="B771" s="71" t="str">
        <x:v>第3组</x:v>
      </x:c>
      <x:c r="C771" s="71" t="str">
        <x:v>TZS</x:v>
      </x:c>
      <x:c r="D771" s="71" t="str">
        <x:v>Study Pass／月</x:v>
      </x:c>
      <x:c r="E771" s="72" t="n">
        <x:v>1700</x:v>
      </x:c>
      <x:c r="F771" s="71" t="str">
        <x:v>TSh 1,700</x:v>
      </x:c>
      <x:c r="G771" s="71" t="str">
        <x:v>sw-TZ</x:v>
      </x:c>
    </x:row>
    <x:row r="772" ht="27" customHeight="1">
      <x:c r="A772" s="71" t="str">
        <x:v>乌干达</x:v>
      </x:c>
      <x:c r="B772" s="71" t="str">
        <x:v>第3组</x:v>
      </x:c>
      <x:c r="C772" s="71" t="str">
        <x:v>UGX</x:v>
      </x:c>
      <x:c r="D772" s="71" t="str">
        <x:v>Trial／7天</x:v>
      </x:c>
      <x:c r="E772" s="72" t="n">
        <x:v>2399</x:v>
      </x:c>
      <x:c r="F772" s="71" t="str">
        <x:v>USh 2,399</x:v>
      </x:c>
      <x:c r="G772" s="71" t="str">
        <x:v>en-UG</x:v>
      </x:c>
    </x:row>
    <x:row r="773" ht="27" customHeight="1">
      <x:c r="A773" s="71" t="str">
        <x:v>乌干达</x:v>
      </x:c>
      <x:c r="B773" s="71" t="str">
        <x:v>第3组</x:v>
      </x:c>
      <x:c r="C773" s="71" t="str">
        <x:v>UGX</x:v>
      </x:c>
      <x:c r="D773" s="71" t="str">
        <x:v>Basic／月</x:v>
      </x:c>
      <x:c r="E773" s="72" t="n">
        <x:v>15900</x:v>
      </x:c>
      <x:c r="F773" s="71" t="str">
        <x:v>USh 15,900</x:v>
      </x:c>
      <x:c r="G773" s="71" t="str">
        <x:v>en-UG</x:v>
      </x:c>
    </x:row>
    <x:row r="774" ht="27" customHeight="1">
      <x:c r="A774" s="71" t="str">
        <x:v>乌干达</x:v>
      </x:c>
      <x:c r="B774" s="71" t="str">
        <x:v>第3组</x:v>
      </x:c>
      <x:c r="C774" s="71" t="str">
        <x:v>UGX</x:v>
      </x:c>
      <x:c r="D774" s="71" t="str">
        <x:v>Plus／月</x:v>
      </x:c>
      <x:c r="E774" s="72" t="n">
        <x:v>31900</x:v>
      </x:c>
      <x:c r="F774" s="71" t="str">
        <x:v>USh 31,900</x:v>
      </x:c>
      <x:c r="G774" s="71" t="str">
        <x:v>en-UG</x:v>
      </x:c>
    </x:row>
    <x:row r="775" ht="27" customHeight="1">
      <x:c r="A775" s="71" t="str">
        <x:v>乌干达</x:v>
      </x:c>
      <x:c r="B775" s="71" t="str">
        <x:v>第3组</x:v>
      </x:c>
      <x:c r="C775" s="71" t="str">
        <x:v>UGX</x:v>
      </x:c>
      <x:c r="D775" s="71" t="str">
        <x:v>新Pro／月</x:v>
      </x:c>
      <x:c r="E775" s="72" t="n">
        <x:v>23900</x:v>
      </x:c>
      <x:c r="F775" s="71" t="str">
        <x:v>USh 23,900</x:v>
      </x:c>
      <x:c r="G775" s="71" t="str">
        <x:v>en-UG</x:v>
      </x:c>
    </x:row>
    <x:row r="776" ht="27" customHeight="1">
      <x:c r="A776" s="71" t="str">
        <x:v>乌干达</x:v>
      </x:c>
      <x:c r="B776" s="71" t="str">
        <x:v>第3组</x:v>
      </x:c>
      <x:c r="C776" s="71" t="str">
        <x:v>UGX</x:v>
      </x:c>
      <x:c r="D776" s="71" t="str">
        <x:v>Basic／年</x:v>
      </x:c>
      <x:c r="E776" s="72" t="n">
        <x:v>76900</x:v>
      </x:c>
      <x:c r="F776" s="71" t="str">
        <x:v>USh 76,900</x:v>
      </x:c>
      <x:c r="G776" s="71" t="str">
        <x:v>en-UG</x:v>
      </x:c>
    </x:row>
    <x:row r="777" ht="27" customHeight="1">
      <x:c r="A777" s="71" t="str">
        <x:v>乌干达</x:v>
      </x:c>
      <x:c r="B777" s="71" t="str">
        <x:v>第3组</x:v>
      </x:c>
      <x:c r="C777" s="71" t="str">
        <x:v>UGX</x:v>
      </x:c>
      <x:c r="D777" s="71" t="str">
        <x:v>Plus／年</x:v>
      </x:c>
      <x:c r="E777" s="72" t="n">
        <x:v>152900</x:v>
      </x:c>
      <x:c r="F777" s="71" t="str">
        <x:v>USh 152,900</x:v>
      </x:c>
      <x:c r="G777" s="71" t="str">
        <x:v>en-UG</x:v>
      </x:c>
    </x:row>
    <x:row r="778" ht="27" customHeight="1">
      <x:c r="A778" s="71" t="str">
        <x:v>乌干达</x:v>
      </x:c>
      <x:c r="B778" s="71" t="str">
        <x:v>第3组</x:v>
      </x:c>
      <x:c r="C778" s="71" t="str">
        <x:v>UGX</x:v>
      </x:c>
      <x:c r="D778" s="71" t="str">
        <x:v>新Pro／年</x:v>
      </x:c>
      <x:c r="E778" s="72" t="n">
        <x:v>286800</x:v>
      </x:c>
      <x:c r="F778" s="71" t="str">
        <x:v>USh 286,800</x:v>
      </x:c>
      <x:c r="G778" s="71" t="str">
        <x:v>en-UG</x:v>
      </x:c>
    </x:row>
    <x:row r="779" ht="27" customHeight="1">
      <x:c r="A779" s="71" t="str">
        <x:v>乌干达</x:v>
      </x:c>
      <x:c r="B779" s="71" t="str">
        <x:v>第3组</x:v>
      </x:c>
      <x:c r="C779" s="71" t="str">
        <x:v>UGX</x:v>
      </x:c>
      <x:c r="D779" s="71" t="str">
        <x:v>作业包／3份</x:v>
      </x:c>
      <x:c r="E779" s="72" t="n">
        <x:v>7999</x:v>
      </x:c>
      <x:c r="F779" s="71" t="str">
        <x:v>USh 7,999</x:v>
      </x:c>
      <x:c r="G779" s="71" t="str">
        <x:v>en-UG</x:v>
      </x:c>
    </x:row>
    <x:row r="780" ht="27" customHeight="1">
      <x:c r="A780" s="71" t="str">
        <x:v>乌干达</x:v>
      </x:c>
      <x:c r="B780" s="71" t="str">
        <x:v>第3组</x:v>
      </x:c>
      <x:c r="C780" s="71" t="str">
        <x:v>UGX</x:v>
      </x:c>
      <x:c r="D780" s="71" t="str">
        <x:v>检测包／5份</x:v>
      </x:c>
      <x:c r="E780" s="72" t="n">
        <x:v>3999</x:v>
      </x:c>
      <x:c r="F780" s="71" t="str">
        <x:v>USh 3,999</x:v>
      </x:c>
      <x:c r="G780" s="71" t="str">
        <x:v>en-UG</x:v>
      </x:c>
    </x:row>
    <x:row r="781" ht="27" customHeight="1">
      <x:c r="A781" s="71" t="str">
        <x:v>乌干达</x:v>
      </x:c>
      <x:c r="B781" s="71" t="str">
        <x:v>第3组</x:v>
      </x:c>
      <x:c r="C781" s="71" t="str">
        <x:v>UGX</x:v>
      </x:c>
      <x:c r="D781" s="71" t="str">
        <x:v>Humanizer包／3份</x:v>
      </x:c>
      <x:c r="E781" s="72" t="n">
        <x:v>5599</x:v>
      </x:c>
      <x:c r="F781" s="71" t="str">
        <x:v>USh 5,599</x:v>
      </x:c>
      <x:c r="G781" s="71" t="str">
        <x:v>en-UG</x:v>
      </x:c>
    </x:row>
    <x:row r="782" ht="27" customHeight="1">
      <x:c r="A782" s="71" t="str">
        <x:v>乌干达</x:v>
      </x:c>
      <x:c r="B782" s="71" t="str">
        <x:v>第3组</x:v>
      </x:c>
      <x:c r="C782" s="71" t="str">
        <x:v>UGX</x:v>
      </x:c>
      <x:c r="D782" s="71" t="str">
        <x:v>Study Pass／月</x:v>
      </x:c>
      <x:c r="E782" s="72" t="n">
        <x:v>2400</x:v>
      </x:c>
      <x:c r="F782" s="71" t="str">
        <x:v>USh 2,400</x:v>
      </x:c>
      <x:c r="G782" s="71" t="str">
        <x:v>en-UG</x:v>
      </x:c>
    </x:row>
    <x:row r="783" ht="27" customHeight="1">
      <x:c r="A783" s="71" t="str">
        <x:v>委内瑞拉</x:v>
      </x:c>
      <x:c r="B783" s="71" t="str">
        <x:v>第3组</x:v>
      </x:c>
      <x:c r="C783" s="71" t="str">
        <x:v>USD</x:v>
      </x:c>
      <x:c r="D783" s="71" t="str">
        <x:v>Trial／7天</x:v>
      </x:c>
      <x:c r="E783" s="73" t="n">
        <x:v>0.59</x:v>
      </x:c>
      <x:c r="F783" s="71" t="str">
        <x:v>US$ 0,59</x:v>
      </x:c>
      <x:c r="G783" s="71" t="str">
        <x:v>es-VE</x:v>
      </x:c>
    </x:row>
    <x:row r="784" ht="27" customHeight="1">
      <x:c r="A784" s="71" t="str">
        <x:v>委内瑞拉</x:v>
      </x:c>
      <x:c r="B784" s="71" t="str">
        <x:v>第3组</x:v>
      </x:c>
      <x:c r="C784" s="71" t="str">
        <x:v>USD</x:v>
      </x:c>
      <x:c r="D784" s="71" t="str">
        <x:v>Basic／月</x:v>
      </x:c>
      <x:c r="E784" s="73" t="n">
        <x:v>3.99</x:v>
      </x:c>
      <x:c r="F784" s="71" t="str">
        <x:v>US$ 3,99</x:v>
      </x:c>
      <x:c r="G784" s="71" t="str">
        <x:v>es-VE</x:v>
      </x:c>
    </x:row>
    <x:row r="785" ht="27" customHeight="1">
      <x:c r="A785" s="71" t="str">
        <x:v>委内瑞拉</x:v>
      </x:c>
      <x:c r="B785" s="71" t="str">
        <x:v>第3组</x:v>
      </x:c>
      <x:c r="C785" s="71" t="str">
        <x:v>USD</x:v>
      </x:c>
      <x:c r="D785" s="71" t="str">
        <x:v>Plus／月</x:v>
      </x:c>
      <x:c r="E785" s="73" t="n">
        <x:v>7.99</x:v>
      </x:c>
      <x:c r="F785" s="71" t="str">
        <x:v>US$ 7,99</x:v>
      </x:c>
      <x:c r="G785" s="71" t="str">
        <x:v>es-VE</x:v>
      </x:c>
    </x:row>
    <x:row r="786" ht="27" customHeight="1">
      <x:c r="A786" s="71" t="str">
        <x:v>委内瑞拉</x:v>
      </x:c>
      <x:c r="B786" s="71" t="str">
        <x:v>第3组</x:v>
      </x:c>
      <x:c r="C786" s="71" t="str">
        <x:v>USD</x:v>
      </x:c>
      <x:c r="D786" s="71" t="str">
        <x:v>新Pro／月</x:v>
      </x:c>
      <x:c r="E786" s="73" t="n">
        <x:v>5.99</x:v>
      </x:c>
      <x:c r="F786" s="71" t="str">
        <x:v>US$ 5,99</x:v>
      </x:c>
      <x:c r="G786" s="71" t="str">
        <x:v>es-VE</x:v>
      </x:c>
    </x:row>
    <x:row r="787" ht="27" customHeight="1">
      <x:c r="A787" s="71" t="str">
        <x:v>委内瑞拉</x:v>
      </x:c>
      <x:c r="B787" s="71" t="str">
        <x:v>第3组</x:v>
      </x:c>
      <x:c r="C787" s="71" t="str">
        <x:v>USD</x:v>
      </x:c>
      <x:c r="D787" s="71" t="str">
        <x:v>Basic／年</x:v>
      </x:c>
      <x:c r="E787" s="73" t="n">
        <x:v>18.99</x:v>
      </x:c>
      <x:c r="F787" s="71" t="str">
        <x:v>US$ 18,99</x:v>
      </x:c>
      <x:c r="G787" s="71" t="str">
        <x:v>es-VE</x:v>
      </x:c>
    </x:row>
    <x:row r="788" ht="27" customHeight="1">
      <x:c r="A788" s="71" t="str">
        <x:v>委内瑞拉</x:v>
      </x:c>
      <x:c r="B788" s="71" t="str">
        <x:v>第3组</x:v>
      </x:c>
      <x:c r="C788" s="71" t="str">
        <x:v>USD</x:v>
      </x:c>
      <x:c r="D788" s="71" t="str">
        <x:v>Plus／年</x:v>
      </x:c>
      <x:c r="E788" s="73" t="n">
        <x:v>37.99</x:v>
      </x:c>
      <x:c r="F788" s="71" t="str">
        <x:v>US$ 37,99</x:v>
      </x:c>
      <x:c r="G788" s="71" t="str">
        <x:v>es-VE</x:v>
      </x:c>
    </x:row>
    <x:row r="789" ht="27" customHeight="1">
      <x:c r="A789" s="71" t="str">
        <x:v>委内瑞拉</x:v>
      </x:c>
      <x:c r="B789" s="71" t="str">
        <x:v>第3组</x:v>
      </x:c>
      <x:c r="C789" s="71" t="str">
        <x:v>USD</x:v>
      </x:c>
      <x:c r="D789" s="71" t="str">
        <x:v>新Pro／年</x:v>
      </x:c>
      <x:c r="E789" s="73" t="n">
        <x:v>71.88</x:v>
      </x:c>
      <x:c r="F789" s="71" t="str">
        <x:v>US$ 71,88</x:v>
      </x:c>
      <x:c r="G789" s="71" t="str">
        <x:v>es-VE</x:v>
      </x:c>
    </x:row>
    <x:row r="790" ht="27" customHeight="1">
      <x:c r="A790" s="71" t="str">
        <x:v>委内瑞拉</x:v>
      </x:c>
      <x:c r="B790" s="71" t="str">
        <x:v>第3组</x:v>
      </x:c>
      <x:c r="C790" s="71" t="str">
        <x:v>USD</x:v>
      </x:c>
      <x:c r="D790" s="71" t="str">
        <x:v>作业包／3份</x:v>
      </x:c>
      <x:c r="E790" s="73" t="n">
        <x:v>1.99</x:v>
      </x:c>
      <x:c r="F790" s="71" t="str">
        <x:v>US$ 1,99</x:v>
      </x:c>
      <x:c r="G790" s="71" t="str">
        <x:v>es-VE</x:v>
      </x:c>
    </x:row>
    <x:row r="791" ht="27" customHeight="1">
      <x:c r="A791" s="71" t="str">
        <x:v>委内瑞拉</x:v>
      </x:c>
      <x:c r="B791" s="71" t="str">
        <x:v>第3组</x:v>
      </x:c>
      <x:c r="C791" s="71" t="str">
        <x:v>USD</x:v>
      </x:c>
      <x:c r="D791" s="71" t="str">
        <x:v>检测包／5份</x:v>
      </x:c>
      <x:c r="E791" s="73" t="n">
        <x:v>0.99</x:v>
      </x:c>
      <x:c r="F791" s="71" t="str">
        <x:v>US$ 0,99</x:v>
      </x:c>
      <x:c r="G791" s="71" t="str">
        <x:v>es-VE</x:v>
      </x:c>
    </x:row>
    <x:row r="792" ht="27" customHeight="1">
      <x:c r="A792" s="71" t="str">
        <x:v>委内瑞拉</x:v>
      </x:c>
      <x:c r="B792" s="71" t="str">
        <x:v>第3组</x:v>
      </x:c>
      <x:c r="C792" s="71" t="str">
        <x:v>USD</x:v>
      </x:c>
      <x:c r="D792" s="71" t="str">
        <x:v>Humanizer包／3份</x:v>
      </x:c>
      <x:c r="E792" s="73" t="n">
        <x:v>1.49</x:v>
      </x:c>
      <x:c r="F792" s="71" t="str">
        <x:v>US$ 1,49</x:v>
      </x:c>
      <x:c r="G792" s="71" t="str">
        <x:v>es-VE</x:v>
      </x:c>
    </x:row>
    <x:row r="793" ht="27" customHeight="1">
      <x:c r="A793" s="71" t="str">
        <x:v>委内瑞拉</x:v>
      </x:c>
      <x:c r="B793" s="71" t="str">
        <x:v>第3组</x:v>
      </x:c>
      <x:c r="C793" s="71" t="str">
        <x:v>USD</x:v>
      </x:c>
      <x:c r="D793" s="71" t="str">
        <x:v>Study Pass／月</x:v>
      </x:c>
      <x:c r="E793" s="73" t="n">
        <x:v>0.6</x:v>
      </x:c>
      <x:c r="F793" s="71" t="str">
        <x:v>US$ 0,60</x:v>
      </x:c>
      <x:c r="G793" s="71" t="str">
        <x:v>es-VE</x:v>
      </x:c>
    </x:row>
    <x:row r="794" ht="27" customHeight="1">
      <x:c r="A794" s="71" t="str">
        <x:v>赞比亚</x:v>
      </x:c>
      <x:c r="B794" s="71" t="str">
        <x:v>第3组</x:v>
      </x:c>
      <x:c r="C794" s="71" t="str">
        <x:v>ZMW</x:v>
      </x:c>
      <x:c r="D794" s="71" t="str">
        <x:v>Trial／7天</x:v>
      </x:c>
      <x:c r="E794" s="72" t="n">
        <x:v>12</x:v>
      </x:c>
      <x:c r="F794" s="71" t="str">
        <x:v>K 12</x:v>
      </x:c>
      <x:c r="G794" s="71" t="str">
        <x:v>en-ZM</x:v>
      </x:c>
    </x:row>
    <x:row r="795" ht="27" customHeight="1">
      <x:c r="A795" s="71" t="str">
        <x:v>赞比亚</x:v>
      </x:c>
      <x:c r="B795" s="71" t="str">
        <x:v>第3组</x:v>
      </x:c>
      <x:c r="C795" s="71" t="str">
        <x:v>ZMW</x:v>
      </x:c>
      <x:c r="D795" s="71" t="str">
        <x:v>Basic／月</x:v>
      </x:c>
      <x:c r="E795" s="72" t="n">
        <x:v>79</x:v>
      </x:c>
      <x:c r="F795" s="71" t="str">
        <x:v>K 79</x:v>
      </x:c>
      <x:c r="G795" s="71" t="str">
        <x:v>en-ZM</x:v>
      </x:c>
    </x:row>
    <x:row r="796" ht="27" customHeight="1">
      <x:c r="A796" s="71" t="str">
        <x:v>赞比亚</x:v>
      </x:c>
      <x:c r="B796" s="71" t="str">
        <x:v>第3组</x:v>
      </x:c>
      <x:c r="C796" s="71" t="str">
        <x:v>ZMW</x:v>
      </x:c>
      <x:c r="D796" s="71" t="str">
        <x:v>Plus／月</x:v>
      </x:c>
      <x:c r="E796" s="72" t="n">
        <x:v>159</x:v>
      </x:c>
      <x:c r="F796" s="71" t="str">
        <x:v>K 159</x:v>
      </x:c>
      <x:c r="G796" s="71" t="str">
        <x:v>en-ZM</x:v>
      </x:c>
    </x:row>
    <x:row r="797" ht="27" customHeight="1">
      <x:c r="A797" s="71" t="str">
        <x:v>赞比亚</x:v>
      </x:c>
      <x:c r="B797" s="71" t="str">
        <x:v>第3组</x:v>
      </x:c>
      <x:c r="C797" s="71" t="str">
        <x:v>ZMW</x:v>
      </x:c>
      <x:c r="D797" s="71" t="str">
        <x:v>新Pro／月</x:v>
      </x:c>
      <x:c r="E797" s="72" t="n">
        <x:v>119</x:v>
      </x:c>
      <x:c r="F797" s="71" t="str">
        <x:v>K 119</x:v>
      </x:c>
      <x:c r="G797" s="71" t="str">
        <x:v>en-ZM</x:v>
      </x:c>
    </x:row>
    <x:row r="798" ht="27" customHeight="1">
      <x:c r="A798" s="71" t="str">
        <x:v>赞比亚</x:v>
      </x:c>
      <x:c r="B798" s="71" t="str">
        <x:v>第3组</x:v>
      </x:c>
      <x:c r="C798" s="71" t="str">
        <x:v>ZMW</x:v>
      </x:c>
      <x:c r="D798" s="71" t="str">
        <x:v>Basic／年</x:v>
      </x:c>
      <x:c r="E798" s="72" t="n">
        <x:v>379</x:v>
      </x:c>
      <x:c r="F798" s="71" t="str">
        <x:v>K 379</x:v>
      </x:c>
      <x:c r="G798" s="71" t="str">
        <x:v>en-ZM</x:v>
      </x:c>
    </x:row>
    <x:row r="799" ht="27" customHeight="1">
      <x:c r="A799" s="71" t="str">
        <x:v>赞比亚</x:v>
      </x:c>
      <x:c r="B799" s="71" t="str">
        <x:v>第3组</x:v>
      </x:c>
      <x:c r="C799" s="71" t="str">
        <x:v>ZMW</x:v>
      </x:c>
      <x:c r="D799" s="71" t="str">
        <x:v>Plus／年</x:v>
      </x:c>
      <x:c r="E799" s="72" t="n">
        <x:v>769</x:v>
      </x:c>
      <x:c r="F799" s="71" t="str">
        <x:v>K 769</x:v>
      </x:c>
      <x:c r="G799" s="71" t="str">
        <x:v>en-ZM</x:v>
      </x:c>
    </x:row>
    <x:row r="800" ht="27" customHeight="1">
      <x:c r="A800" s="71" t="str">
        <x:v>赞比亚</x:v>
      </x:c>
      <x:c r="B800" s="71" t="str">
        <x:v>第3组</x:v>
      </x:c>
      <x:c r="C800" s="71" t="str">
        <x:v>ZMW</x:v>
      </x:c>
      <x:c r="D800" s="71" t="str">
        <x:v>新Pro／年</x:v>
      </x:c>
      <x:c r="E800" s="72" t="n">
        <x:v>1428</x:v>
      </x:c>
      <x:c r="F800" s="71" t="str">
        <x:v>K 1,428</x:v>
      </x:c>
      <x:c r="G800" s="71" t="str">
        <x:v>en-ZM</x:v>
      </x:c>
    </x:row>
    <x:row r="801" ht="27" customHeight="1">
      <x:c r="A801" s="71" t="str">
        <x:v>赞比亚</x:v>
      </x:c>
      <x:c r="B801" s="71" t="str">
        <x:v>第3组</x:v>
      </x:c>
      <x:c r="C801" s="71" t="str">
        <x:v>ZMW</x:v>
      </x:c>
      <x:c r="D801" s="71" t="str">
        <x:v>作业包／3份</x:v>
      </x:c>
      <x:c r="E801" s="72" t="n">
        <x:v>39</x:v>
      </x:c>
      <x:c r="F801" s="71" t="str">
        <x:v>K 39</x:v>
      </x:c>
      <x:c r="G801" s="71" t="str">
        <x:v>en-ZM</x:v>
      </x:c>
    </x:row>
    <x:row r="802" ht="27" customHeight="1">
      <x:c r="A802" s="71" t="str">
        <x:v>赞比亚</x:v>
      </x:c>
      <x:c r="B802" s="71" t="str">
        <x:v>第3组</x:v>
      </x:c>
      <x:c r="C802" s="71" t="str">
        <x:v>ZMW</x:v>
      </x:c>
      <x:c r="D802" s="71" t="str">
        <x:v>检测包／5份</x:v>
      </x:c>
      <x:c r="E802" s="72" t="n">
        <x:v>19</x:v>
      </x:c>
      <x:c r="F802" s="71" t="str">
        <x:v>K 19</x:v>
      </x:c>
      <x:c r="G802" s="71" t="str">
        <x:v>en-ZM</x:v>
      </x:c>
    </x:row>
    <x:row r="803" ht="27" customHeight="1">
      <x:c r="A803" s="71" t="str">
        <x:v>赞比亚</x:v>
      </x:c>
      <x:c r="B803" s="71" t="str">
        <x:v>第3组</x:v>
      </x:c>
      <x:c r="C803" s="71" t="str">
        <x:v>ZMW</x:v>
      </x:c>
      <x:c r="D803" s="71" t="str">
        <x:v>Humanizer包／3份</x:v>
      </x:c>
      <x:c r="E803" s="72" t="n">
        <x:v>29</x:v>
      </x:c>
      <x:c r="F803" s="71" t="str">
        <x:v>K 29</x:v>
      </x:c>
      <x:c r="G803" s="71" t="str">
        <x:v>en-ZM</x:v>
      </x:c>
    </x:row>
    <x:row r="804" ht="27" customHeight="1">
      <x:c r="A804" s="71" t="str">
        <x:v>赞比亚</x:v>
      </x:c>
      <x:c r="B804" s="71" t="str">
        <x:v>第3组</x:v>
      </x:c>
      <x:c r="C804" s="71" t="str">
        <x:v>ZMW</x:v>
      </x:c>
      <x:c r="D804" s="71" t="str">
        <x:v>Study Pass／月</x:v>
      </x:c>
      <x:c r="E804" s="72" t="n">
        <x:v>12</x:v>
      </x:c>
      <x:c r="F804" s="71" t="str">
        <x:v>K 12</x:v>
      </x:c>
      <x:c r="G804" s="71" t="str">
        <x:v>en-ZM</x:v>
      </x:c>
    </x:row>
    <x:row r="805" ht="27" customHeight="1">
      <x:c r="A805" s="71" t="str">
        <x:v>阿富汗</x:v>
      </x:c>
      <x:c r="B805" s="71" t="str">
        <x:v>第3组</x:v>
      </x:c>
      <x:c r="C805" s="71" t="str">
        <x:v>AFN</x:v>
      </x:c>
      <x:c r="D805" s="71" t="str">
        <x:v>Trial／7天</x:v>
      </x:c>
      <x:c r="E805" s="72" t="n">
        <x:v>39</x:v>
      </x:c>
      <x:c r="F805" s="71" t="str">
        <x:v>؋ 39</x:v>
      </x:c>
      <x:c r="G805" s="71" t="str">
        <x:v>fa-AF</x:v>
      </x:c>
    </x:row>
    <x:row r="806" ht="27" customHeight="1">
      <x:c r="A806" s="71" t="str">
        <x:v>阿富汗</x:v>
      </x:c>
      <x:c r="B806" s="71" t="str">
        <x:v>第3组</x:v>
      </x:c>
      <x:c r="C806" s="71" t="str">
        <x:v>AFN</x:v>
      </x:c>
      <x:c r="D806" s="71" t="str">
        <x:v>Basic／月</x:v>
      </x:c>
      <x:c r="E806" s="72" t="n">
        <x:v>259</x:v>
      </x:c>
      <x:c r="F806" s="71" t="str">
        <x:v>؋ 259</x:v>
      </x:c>
      <x:c r="G806" s="71" t="str">
        <x:v>fa-AF</x:v>
      </x:c>
    </x:row>
    <x:row r="807" ht="27" customHeight="1">
      <x:c r="A807" s="71" t="str">
        <x:v>阿富汗</x:v>
      </x:c>
      <x:c r="B807" s="71" t="str">
        <x:v>第3组</x:v>
      </x:c>
      <x:c r="C807" s="71" t="str">
        <x:v>AFN</x:v>
      </x:c>
      <x:c r="D807" s="71" t="str">
        <x:v>Plus／月</x:v>
      </x:c>
      <x:c r="E807" s="72" t="n">
        <x:v>519</x:v>
      </x:c>
      <x:c r="F807" s="71" t="str">
        <x:v>؋ 519</x:v>
      </x:c>
      <x:c r="G807" s="71" t="str">
        <x:v>fa-AF</x:v>
      </x:c>
    </x:row>
    <x:row r="808" ht="27" customHeight="1">
      <x:c r="A808" s="71" t="str">
        <x:v>阿富汗</x:v>
      </x:c>
      <x:c r="B808" s="71" t="str">
        <x:v>第3组</x:v>
      </x:c>
      <x:c r="C808" s="71" t="str">
        <x:v>AFN</x:v>
      </x:c>
      <x:c r="D808" s="71" t="str">
        <x:v>新Pro／月</x:v>
      </x:c>
      <x:c r="E808" s="72" t="n">
        <x:v>389</x:v>
      </x:c>
      <x:c r="F808" s="71" t="str">
        <x:v>؋ 389</x:v>
      </x:c>
      <x:c r="G808" s="71" t="str">
        <x:v>fa-AF</x:v>
      </x:c>
    </x:row>
    <x:row r="809" ht="27" customHeight="1">
      <x:c r="A809" s="71" t="str">
        <x:v>阿富汗</x:v>
      </x:c>
      <x:c r="B809" s="71" t="str">
        <x:v>第3组</x:v>
      </x:c>
      <x:c r="C809" s="71" t="str">
        <x:v>AFN</x:v>
      </x:c>
      <x:c r="D809" s="71" t="str">
        <x:v>Basic／年</x:v>
      </x:c>
      <x:c r="E809" s="72" t="n">
        <x:v>1249</x:v>
      </x:c>
      <x:c r="F809" s="71" t="str">
        <x:v>؋ 1,249</x:v>
      </x:c>
      <x:c r="G809" s="71" t="str">
        <x:v>fa-AF</x:v>
      </x:c>
    </x:row>
    <x:row r="810" ht="27" customHeight="1">
      <x:c r="A810" s="71" t="str">
        <x:v>阿富汗</x:v>
      </x:c>
      <x:c r="B810" s="71" t="str">
        <x:v>第3组</x:v>
      </x:c>
      <x:c r="C810" s="71" t="str">
        <x:v>AFN</x:v>
      </x:c>
      <x:c r="D810" s="71" t="str">
        <x:v>Plus／年</x:v>
      </x:c>
      <x:c r="E810" s="72" t="n">
        <x:v>2499</x:v>
      </x:c>
      <x:c r="F810" s="71" t="str">
        <x:v>؋ 2,499</x:v>
      </x:c>
      <x:c r="G810" s="71" t="str">
        <x:v>fa-AF</x:v>
      </x:c>
    </x:row>
    <x:row r="811" ht="27" customHeight="1">
      <x:c r="A811" s="71" t="str">
        <x:v>阿富汗</x:v>
      </x:c>
      <x:c r="B811" s="71" t="str">
        <x:v>第3组</x:v>
      </x:c>
      <x:c r="C811" s="71" t="str">
        <x:v>AFN</x:v>
      </x:c>
      <x:c r="D811" s="71" t="str">
        <x:v>新Pro／年</x:v>
      </x:c>
      <x:c r="E811" s="72" t="n">
        <x:v>4668</x:v>
      </x:c>
      <x:c r="F811" s="71" t="str">
        <x:v>؋ 4,668</x:v>
      </x:c>
      <x:c r="G811" s="71" t="str">
        <x:v>fa-AF</x:v>
      </x:c>
    </x:row>
    <x:row r="812" ht="27" customHeight="1">
      <x:c r="A812" s="71" t="str">
        <x:v>阿富汗</x:v>
      </x:c>
      <x:c r="B812" s="71" t="str">
        <x:v>第3组</x:v>
      </x:c>
      <x:c r="C812" s="71" t="str">
        <x:v>AFN</x:v>
      </x:c>
      <x:c r="D812" s="71" t="str">
        <x:v>作业包／3份</x:v>
      </x:c>
      <x:c r="E812" s="72" t="n">
        <x:v>129</x:v>
      </x:c>
      <x:c r="F812" s="71" t="str">
        <x:v>؋ 129</x:v>
      </x:c>
      <x:c r="G812" s="71" t="str">
        <x:v>fa-AF</x:v>
      </x:c>
    </x:row>
    <x:row r="813" ht="27" customHeight="1">
      <x:c r="A813" s="71" t="str">
        <x:v>阿富汗</x:v>
      </x:c>
      <x:c r="B813" s="71" t="str">
        <x:v>第3组</x:v>
      </x:c>
      <x:c r="C813" s="71" t="str">
        <x:v>AFN</x:v>
      </x:c>
      <x:c r="D813" s="71" t="str">
        <x:v>检测包／5份</x:v>
      </x:c>
      <x:c r="E813" s="72" t="n">
        <x:v>69</x:v>
      </x:c>
      <x:c r="F813" s="71" t="str">
        <x:v>؋ 69</x:v>
      </x:c>
      <x:c r="G813" s="71" t="str">
        <x:v>fa-AF</x:v>
      </x:c>
    </x:row>
    <x:row r="814" ht="27" customHeight="1">
      <x:c r="A814" s="71" t="str">
        <x:v>阿富汗</x:v>
      </x:c>
      <x:c r="B814" s="71" t="str">
        <x:v>第3组</x:v>
      </x:c>
      <x:c r="C814" s="71" t="str">
        <x:v>AFN</x:v>
      </x:c>
      <x:c r="D814" s="71" t="str">
        <x:v>Humanizer包／3份</x:v>
      </x:c>
      <x:c r="E814" s="72" t="n">
        <x:v>89</x:v>
      </x:c>
      <x:c r="F814" s="71" t="str">
        <x:v>؋ 89</x:v>
      </x:c>
      <x:c r="G814" s="71" t="str">
        <x:v>fa-AF</x:v>
      </x:c>
    </x:row>
    <x:row r="815" ht="27" customHeight="1">
      <x:c r="A815" s="71" t="str">
        <x:v>阿富汗</x:v>
      </x:c>
      <x:c r="B815" s="71" t="str">
        <x:v>第3组</x:v>
      </x:c>
      <x:c r="C815" s="71" t="str">
        <x:v>AFN</x:v>
      </x:c>
      <x:c r="D815" s="71" t="str">
        <x:v>Study Pass／月</x:v>
      </x:c>
      <x:c r="E815" s="72" t="n">
        <x:v>39</x:v>
      </x:c>
      <x:c r="F815" s="71" t="str">
        <x:v>؋ 39</x:v>
      </x:c>
      <x:c r="G815" s="71" t="str">
        <x:v>fa-AF</x:v>
      </x:c>
    </x:row>
    <x:row r="816" ht="27" customHeight="1">
      <x:c r="A816" s="71" t="str">
        <x:v>阿尔巴尼亚</x:v>
      </x:c>
      <x:c r="B816" s="71" t="str">
        <x:v>第3组</x:v>
      </x:c>
      <x:c r="C816" s="71" t="str">
        <x:v>ALL</x:v>
      </x:c>
      <x:c r="D816" s="71" t="str">
        <x:v>Trial／7天</x:v>
      </x:c>
      <x:c r="E816" s="72" t="n">
        <x:v>99</x:v>
      </x:c>
      <x:c r="F816" s="71" t="str">
        <x:v>99 Lekë</x:v>
      </x:c>
      <x:c r="G816" s="71" t="str">
        <x:v>sq-AL</x:v>
      </x:c>
    </x:row>
    <x:row r="817" ht="27" customHeight="1">
      <x:c r="A817" s="71" t="str">
        <x:v>阿尔巴尼亚</x:v>
      </x:c>
      <x:c r="B817" s="71" t="str">
        <x:v>第3组</x:v>
      </x:c>
      <x:c r="C817" s="71" t="str">
        <x:v>ALL</x:v>
      </x:c>
      <x:c r="D817" s="71" t="str">
        <x:v>Basic／月</x:v>
      </x:c>
      <x:c r="E817" s="72" t="n">
        <x:v>649</x:v>
      </x:c>
      <x:c r="F817" s="71" t="str">
        <x:v>649 Lekë</x:v>
      </x:c>
      <x:c r="G817" s="71" t="str">
        <x:v>sq-AL</x:v>
      </x:c>
    </x:row>
    <x:row r="818" ht="27" customHeight="1">
      <x:c r="A818" s="71" t="str">
        <x:v>阿尔巴尼亚</x:v>
      </x:c>
      <x:c r="B818" s="71" t="str">
        <x:v>第3组</x:v>
      </x:c>
      <x:c r="C818" s="71" t="str">
        <x:v>ALL</x:v>
      </x:c>
      <x:c r="D818" s="71" t="str">
        <x:v>Plus／月</x:v>
      </x:c>
      <x:c r="E818" s="72" t="n">
        <x:v>1299</x:v>
      </x:c>
      <x:c r="F818" s="71" t="str">
        <x:v>1 299 Lekë</x:v>
      </x:c>
      <x:c r="G818" s="71" t="str">
        <x:v>sq-AL</x:v>
      </x:c>
    </x:row>
    <x:row r="819" ht="27" customHeight="1">
      <x:c r="A819" s="71" t="str">
        <x:v>阿尔巴尼亚</x:v>
      </x:c>
      <x:c r="B819" s="71" t="str">
        <x:v>第3组</x:v>
      </x:c>
      <x:c r="C819" s="71" t="str">
        <x:v>ALL</x:v>
      </x:c>
      <x:c r="D819" s="71" t="str">
        <x:v>新Pro／月</x:v>
      </x:c>
      <x:c r="E819" s="72" t="n">
        <x:v>979</x:v>
      </x:c>
      <x:c r="F819" s="71" t="str">
        <x:v>979 Lekë</x:v>
      </x:c>
      <x:c r="G819" s="71" t="str">
        <x:v>sq-AL</x:v>
      </x:c>
    </x:row>
    <x:row r="820" ht="27" customHeight="1">
      <x:c r="A820" s="71" t="str">
        <x:v>阿尔巴尼亚</x:v>
      </x:c>
      <x:c r="B820" s="71" t="str">
        <x:v>第3组</x:v>
      </x:c>
      <x:c r="C820" s="71" t="str">
        <x:v>ALL</x:v>
      </x:c>
      <x:c r="D820" s="71" t="str">
        <x:v>Basic／年</x:v>
      </x:c>
      <x:c r="E820" s="72" t="n">
        <x:v>3099</x:v>
      </x:c>
      <x:c r="F820" s="71" t="str">
        <x:v>3 099 Lekë</x:v>
      </x:c>
      <x:c r="G820" s="71" t="str">
        <x:v>sq-AL</x:v>
      </x:c>
    </x:row>
    <x:row r="821" ht="27" customHeight="1">
      <x:c r="A821" s="71" t="str">
        <x:v>阿尔巴尼亚</x:v>
      </x:c>
      <x:c r="B821" s="71" t="str">
        <x:v>第3组</x:v>
      </x:c>
      <x:c r="C821" s="71" t="str">
        <x:v>ALL</x:v>
      </x:c>
      <x:c r="D821" s="71" t="str">
        <x:v>Plus／年</x:v>
      </x:c>
      <x:c r="E821" s="72" t="n">
        <x:v>6299</x:v>
      </x:c>
      <x:c r="F821" s="71" t="str">
        <x:v>6 299 Lekë</x:v>
      </x:c>
      <x:c r="G821" s="71" t="str">
        <x:v>sq-AL</x:v>
      </x:c>
    </x:row>
    <x:row r="822" ht="27" customHeight="1">
      <x:c r="A822" s="71" t="str">
        <x:v>阿尔巴尼亚</x:v>
      </x:c>
      <x:c r="B822" s="71" t="str">
        <x:v>第3组</x:v>
      </x:c>
      <x:c r="C822" s="71" t="str">
        <x:v>ALL</x:v>
      </x:c>
      <x:c r="D822" s="71" t="str">
        <x:v>新Pro／年</x:v>
      </x:c>
      <x:c r="E822" s="72" t="n">
        <x:v>11748</x:v>
      </x:c>
      <x:c r="F822" s="71" t="str">
        <x:v>11 748 Lekë</x:v>
      </x:c>
      <x:c r="G822" s="71" t="str">
        <x:v>sq-AL</x:v>
      </x:c>
    </x:row>
    <x:row r="823" ht="27" customHeight="1">
      <x:c r="A823" s="71" t="str">
        <x:v>阿尔巴尼亚</x:v>
      </x:c>
      <x:c r="B823" s="71" t="str">
        <x:v>第3组</x:v>
      </x:c>
      <x:c r="C823" s="71" t="str">
        <x:v>ALL</x:v>
      </x:c>
      <x:c r="D823" s="71" t="str">
        <x:v>作业包／3份</x:v>
      </x:c>
      <x:c r="E823" s="72" t="n">
        <x:v>329</x:v>
      </x:c>
      <x:c r="F823" s="71" t="str">
        <x:v>329 Lekë</x:v>
      </x:c>
      <x:c r="G823" s="71" t="str">
        <x:v>sq-AL</x:v>
      </x:c>
    </x:row>
    <x:row r="824" ht="27" customHeight="1">
      <x:c r="A824" s="71" t="str">
        <x:v>阿尔巴尼亚</x:v>
      </x:c>
      <x:c r="B824" s="71" t="str">
        <x:v>第3组</x:v>
      </x:c>
      <x:c r="C824" s="71" t="str">
        <x:v>ALL</x:v>
      </x:c>
      <x:c r="D824" s="71" t="str">
        <x:v>检测包／5份</x:v>
      </x:c>
      <x:c r="E824" s="72" t="n">
        <x:v>159</x:v>
      </x:c>
      <x:c r="F824" s="71" t="str">
        <x:v>159 Lekë</x:v>
      </x:c>
      <x:c r="G824" s="71" t="str">
        <x:v>sq-AL</x:v>
      </x:c>
    </x:row>
    <x:row r="825" ht="27" customHeight="1">
      <x:c r="A825" s="71" t="str">
        <x:v>阿尔巴尼亚</x:v>
      </x:c>
      <x:c r="B825" s="71" t="str">
        <x:v>第3组</x:v>
      </x:c>
      <x:c r="C825" s="71" t="str">
        <x:v>ALL</x:v>
      </x:c>
      <x:c r="D825" s="71" t="str">
        <x:v>Humanizer包／3份</x:v>
      </x:c>
      <x:c r="E825" s="72" t="n">
        <x:v>229</x:v>
      </x:c>
      <x:c r="F825" s="71" t="str">
        <x:v>229 Lekë</x:v>
      </x:c>
      <x:c r="G825" s="71" t="str">
        <x:v>sq-AL</x:v>
      </x:c>
    </x:row>
    <x:row r="826" ht="27" customHeight="1">
      <x:c r="A826" s="71" t="str">
        <x:v>阿尔巴尼亚</x:v>
      </x:c>
      <x:c r="B826" s="71" t="str">
        <x:v>第3组</x:v>
      </x:c>
      <x:c r="C826" s="71" t="str">
        <x:v>ALL</x:v>
      </x:c>
      <x:c r="D826" s="71" t="str">
        <x:v>Study Pass／月</x:v>
      </x:c>
      <x:c r="E826" s="72" t="n">
        <x:v>49</x:v>
      </x:c>
      <x:c r="F826" s="71" t="str">
        <x:v>49 Lekë</x:v>
      </x:c>
      <x:c r="G826" s="71" t="str">
        <x:v>sq-AL</x:v>
      </x:c>
    </x:row>
    <x:row r="827" ht="27" customHeight="1">
      <x:c r="A827" s="71" t="str">
        <x:v>巴巴多斯</x:v>
      </x:c>
      <x:c r="B827" s="71" t="str">
        <x:v>第3组</x:v>
      </x:c>
      <x:c r="C827" s="71" t="str">
        <x:v>BBD</x:v>
      </x:c>
      <x:c r="D827" s="71" t="str">
        <x:v>Trial／7天</x:v>
      </x:c>
      <x:c r="E827" s="73" t="n">
        <x:v>3.49</x:v>
      </x:c>
      <x:c r="F827" s="71" t="str">
        <x:v>$3.49</x:v>
      </x:c>
      <x:c r="G827" s="71" t="str">
        <x:v>en-BB</x:v>
      </x:c>
    </x:row>
    <x:row r="828" ht="27" customHeight="1">
      <x:c r="A828" s="71" t="str">
        <x:v>巴巴多斯</x:v>
      </x:c>
      <x:c r="B828" s="71" t="str">
        <x:v>第3组</x:v>
      </x:c>
      <x:c r="C828" s="71" t="str">
        <x:v>BBD</x:v>
      </x:c>
      <x:c r="D828" s="71" t="str">
        <x:v>Basic／月</x:v>
      </x:c>
      <x:c r="E828" s="73" t="n">
        <x:v>21.99</x:v>
      </x:c>
      <x:c r="F828" s="71" t="str">
        <x:v>$21.99</x:v>
      </x:c>
      <x:c r="G828" s="71" t="str">
        <x:v>en-BB</x:v>
      </x:c>
    </x:row>
    <x:row r="829" ht="27" customHeight="1">
      <x:c r="A829" s="71" t="str">
        <x:v>巴巴多斯</x:v>
      </x:c>
      <x:c r="B829" s="71" t="str">
        <x:v>第3组</x:v>
      </x:c>
      <x:c r="C829" s="71" t="str">
        <x:v>BBD</x:v>
      </x:c>
      <x:c r="D829" s="71" t="str">
        <x:v>Plus／月</x:v>
      </x:c>
      <x:c r="E829" s="73" t="n">
        <x:v>43.99</x:v>
      </x:c>
      <x:c r="F829" s="71" t="str">
        <x:v>$43.99</x:v>
      </x:c>
      <x:c r="G829" s="71" t="str">
        <x:v>en-BB</x:v>
      </x:c>
    </x:row>
    <x:row r="830" ht="27" customHeight="1">
      <x:c r="A830" s="71" t="str">
        <x:v>巴巴多斯</x:v>
      </x:c>
      <x:c r="B830" s="71" t="str">
        <x:v>第3组</x:v>
      </x:c>
      <x:c r="C830" s="71" t="str">
        <x:v>BBD</x:v>
      </x:c>
      <x:c r="D830" s="71" t="str">
        <x:v>新Pro／月</x:v>
      </x:c>
      <x:c r="E830" s="73" t="n">
        <x:v>32.99</x:v>
      </x:c>
      <x:c r="F830" s="71" t="str">
        <x:v>$32.99</x:v>
      </x:c>
      <x:c r="G830" s="71" t="str">
        <x:v>en-BB</x:v>
      </x:c>
    </x:row>
    <x:row r="831" ht="27" customHeight="1">
      <x:c r="A831" s="71" t="str">
        <x:v>巴巴多斯</x:v>
      </x:c>
      <x:c r="B831" s="71" t="str">
        <x:v>第3组</x:v>
      </x:c>
      <x:c r="C831" s="71" t="str">
        <x:v>BBD</x:v>
      </x:c>
      <x:c r="D831" s="71" t="str">
        <x:v>Basic／年</x:v>
      </x:c>
      <x:c r="E831" s="73" t="n">
        <x:v>104.99</x:v>
      </x:c>
      <x:c r="F831" s="71" t="str">
        <x:v>$104.99</x:v>
      </x:c>
      <x:c r="G831" s="71" t="str">
        <x:v>en-BB</x:v>
      </x:c>
    </x:row>
    <x:row r="832" ht="27" customHeight="1">
      <x:c r="A832" s="71" t="str">
        <x:v>巴巴多斯</x:v>
      </x:c>
      <x:c r="B832" s="71" t="str">
        <x:v>第3组</x:v>
      </x:c>
      <x:c r="C832" s="71" t="str">
        <x:v>BBD</x:v>
      </x:c>
      <x:c r="D832" s="71" t="str">
        <x:v>Plus／年</x:v>
      </x:c>
      <x:c r="E832" s="73" t="n">
        <x:v>210.99</x:v>
      </x:c>
      <x:c r="F832" s="71" t="str">
        <x:v>$210.99</x:v>
      </x:c>
      <x:c r="G832" s="71" t="str">
        <x:v>en-BB</x:v>
      </x:c>
    </x:row>
    <x:row r="833" ht="27" customHeight="1">
      <x:c r="A833" s="71" t="str">
        <x:v>巴巴多斯</x:v>
      </x:c>
      <x:c r="B833" s="71" t="str">
        <x:v>第3组</x:v>
      </x:c>
      <x:c r="C833" s="71" t="str">
        <x:v>BBD</x:v>
      </x:c>
      <x:c r="D833" s="71" t="str">
        <x:v>新Pro／年</x:v>
      </x:c>
      <x:c r="E833" s="73" t="n">
        <x:v>395.88</x:v>
      </x:c>
      <x:c r="F833" s="71" t="str">
        <x:v>$395.88</x:v>
      </x:c>
      <x:c r="G833" s="71" t="str">
        <x:v>en-BB</x:v>
      </x:c>
    </x:row>
    <x:row r="834" ht="27" customHeight="1">
      <x:c r="A834" s="71" t="str">
        <x:v>巴巴多斯</x:v>
      </x:c>
      <x:c r="B834" s="71" t="str">
        <x:v>第3组</x:v>
      </x:c>
      <x:c r="C834" s="71" t="str">
        <x:v>BBD</x:v>
      </x:c>
      <x:c r="D834" s="71" t="str">
        <x:v>作业包／3份</x:v>
      </x:c>
      <x:c r="E834" s="73" t="n">
        <x:v>10.99</x:v>
      </x:c>
      <x:c r="F834" s="71" t="str">
        <x:v>$10.99</x:v>
      </x:c>
      <x:c r="G834" s="71" t="str">
        <x:v>en-BB</x:v>
      </x:c>
    </x:row>
    <x:row r="835" ht="27" customHeight="1">
      <x:c r="A835" s="71" t="str">
        <x:v>巴巴多斯</x:v>
      </x:c>
      <x:c r="B835" s="71" t="str">
        <x:v>第3组</x:v>
      </x:c>
      <x:c r="C835" s="71" t="str">
        <x:v>BBD</x:v>
      </x:c>
      <x:c r="D835" s="71" t="str">
        <x:v>检测包／5份</x:v>
      </x:c>
      <x:c r="E835" s="73" t="n">
        <x:v>5.49</x:v>
      </x:c>
      <x:c r="F835" s="71" t="str">
        <x:v>$5.49</x:v>
      </x:c>
      <x:c r="G835" s="71" t="str">
        <x:v>en-BB</x:v>
      </x:c>
    </x:row>
    <x:row r="836" ht="27" customHeight="1">
      <x:c r="A836" s="71" t="str">
        <x:v>巴巴多斯</x:v>
      </x:c>
      <x:c r="B836" s="71" t="str">
        <x:v>第3组</x:v>
      </x:c>
      <x:c r="C836" s="71" t="str">
        <x:v>BBD</x:v>
      </x:c>
      <x:c r="D836" s="71" t="str">
        <x:v>Humanizer包／3份</x:v>
      </x:c>
      <x:c r="E836" s="73" t="n">
        <x:v>7.49</x:v>
      </x:c>
      <x:c r="F836" s="71" t="str">
        <x:v>$7.49</x:v>
      </x:c>
      <x:c r="G836" s="71" t="str">
        <x:v>en-BB</x:v>
      </x:c>
    </x:row>
    <x:row r="837" ht="27" customHeight="1">
      <x:c r="A837" s="71" t="str">
        <x:v>巴巴多斯</x:v>
      </x:c>
      <x:c r="B837" s="71" t="str">
        <x:v>第3组</x:v>
      </x:c>
      <x:c r="C837" s="71" t="str">
        <x:v>BBD</x:v>
      </x:c>
      <x:c r="D837" s="71" t="str">
        <x:v>Study Pass／月</x:v>
      </x:c>
      <x:c r="E837" s="73" t="n">
        <x:v>1.3</x:v>
      </x:c>
      <x:c r="F837" s="71" t="str">
        <x:v>$1.30</x:v>
      </x:c>
      <x:c r="G837" s="71" t="str">
        <x:v>en-BB</x:v>
      </x:c>
    </x:row>
    <x:row r="838" ht="27" customHeight="1">
      <x:c r="A838" s="71" t="str">
        <x:v>比利时</x:v>
      </x:c>
      <x:c r="B838" s="71" t="str">
        <x:v>第3组</x:v>
      </x:c>
      <x:c r="C838" s="71" t="str">
        <x:v>EUR</x:v>
      </x:c>
      <x:c r="D838" s="71" t="str">
        <x:v>Trial／7天</x:v>
      </x:c>
      <x:c r="E838" s="73" t="n">
        <x:v>1.99</x:v>
      </x:c>
      <x:c r="F838" s="71" t="str">
        <x:v>1,99 €</x:v>
      </x:c>
      <x:c r="G838" s="71" t="str">
        <x:v>fr-BE</x:v>
      </x:c>
    </x:row>
    <x:row r="839" ht="27" customHeight="1">
      <x:c r="A839" s="71" t="str">
        <x:v>比利时</x:v>
      </x:c>
      <x:c r="B839" s="71" t="str">
        <x:v>第3组</x:v>
      </x:c>
      <x:c r="C839" s="71" t="str">
        <x:v>EUR</x:v>
      </x:c>
      <x:c r="D839" s="71" t="str">
        <x:v>Basic／月</x:v>
      </x:c>
      <x:c r="E839" s="73" t="n">
        <x:v>13.99</x:v>
      </x:c>
      <x:c r="F839" s="71" t="str">
        <x:v>13,99 €</x:v>
      </x:c>
      <x:c r="G839" s="71" t="str">
        <x:v>fr-BE</x:v>
      </x:c>
    </x:row>
    <x:row r="840" ht="27" customHeight="1">
      <x:c r="A840" s="71" t="str">
        <x:v>比利时</x:v>
      </x:c>
      <x:c r="B840" s="71" t="str">
        <x:v>第3组</x:v>
      </x:c>
      <x:c r="C840" s="71" t="str">
        <x:v>EUR</x:v>
      </x:c>
      <x:c r="D840" s="71" t="str">
        <x:v>Plus／月</x:v>
      </x:c>
      <x:c r="E840" s="73" t="n">
        <x:v>27.99</x:v>
      </x:c>
      <x:c r="F840" s="71" t="str">
        <x:v>27,99 €</x:v>
      </x:c>
      <x:c r="G840" s="71" t="str">
        <x:v>fr-BE</x:v>
      </x:c>
    </x:row>
    <x:row r="841" ht="27" customHeight="1">
      <x:c r="A841" s="71" t="str">
        <x:v>比利时</x:v>
      </x:c>
      <x:c r="B841" s="71" t="str">
        <x:v>第3组</x:v>
      </x:c>
      <x:c r="C841" s="71" t="str">
        <x:v>EUR</x:v>
      </x:c>
      <x:c r="D841" s="71" t="str">
        <x:v>新Pro／月</x:v>
      </x:c>
      <x:c r="E841" s="73" t="n">
        <x:v>20.99</x:v>
      </x:c>
      <x:c r="F841" s="71" t="str">
        <x:v>20,99 €</x:v>
      </x:c>
      <x:c r="G841" s="71" t="str">
        <x:v>fr-BE</x:v>
      </x:c>
    </x:row>
    <x:row r="842" ht="27" customHeight="1">
      <x:c r="A842" s="71" t="str">
        <x:v>比利时</x:v>
      </x:c>
      <x:c r="B842" s="71" t="str">
        <x:v>第3组</x:v>
      </x:c>
      <x:c r="C842" s="71" t="str">
        <x:v>EUR</x:v>
      </x:c>
      <x:c r="D842" s="71" t="str">
        <x:v>Basic／年</x:v>
      </x:c>
      <x:c r="E842" s="73" t="n">
        <x:v>67.99</x:v>
      </x:c>
      <x:c r="F842" s="71" t="str">
        <x:v>67,99 €</x:v>
      </x:c>
      <x:c r="G842" s="71" t="str">
        <x:v>fr-BE</x:v>
      </x:c>
    </x:row>
    <x:row r="843" ht="27" customHeight="1">
      <x:c r="A843" s="71" t="str">
        <x:v>比利时</x:v>
      </x:c>
      <x:c r="B843" s="71" t="str">
        <x:v>第3组</x:v>
      </x:c>
      <x:c r="C843" s="71" t="str">
        <x:v>EUR</x:v>
      </x:c>
      <x:c r="D843" s="71" t="str">
        <x:v>Plus／年</x:v>
      </x:c>
      <x:c r="E843" s="73" t="n">
        <x:v>136.99</x:v>
      </x:c>
      <x:c r="F843" s="71" t="str">
        <x:v>136,99 €</x:v>
      </x:c>
      <x:c r="G843" s="71" t="str">
        <x:v>fr-BE</x:v>
      </x:c>
    </x:row>
    <x:row r="844" ht="27" customHeight="1">
      <x:c r="A844" s="71" t="str">
        <x:v>比利时</x:v>
      </x:c>
      <x:c r="B844" s="71" t="str">
        <x:v>第3组</x:v>
      </x:c>
      <x:c r="C844" s="71" t="str">
        <x:v>EUR</x:v>
      </x:c>
      <x:c r="D844" s="71" t="str">
        <x:v>新Pro／年</x:v>
      </x:c>
      <x:c r="E844" s="73" t="n">
        <x:v>251.88</x:v>
      </x:c>
      <x:c r="F844" s="71" t="str">
        <x:v>251,88 €</x:v>
      </x:c>
      <x:c r="G844" s="71" t="str">
        <x:v>fr-BE</x:v>
      </x:c>
    </x:row>
    <x:row r="845" ht="27" customHeight="1">
      <x:c r="A845" s="71" t="str">
        <x:v>比利时</x:v>
      </x:c>
      <x:c r="B845" s="71" t="str">
        <x:v>第3组</x:v>
      </x:c>
      <x:c r="C845" s="71" t="str">
        <x:v>EUR</x:v>
      </x:c>
      <x:c r="D845" s="71" t="str">
        <x:v>作业包／3份</x:v>
      </x:c>
      <x:c r="E845" s="73" t="n">
        <x:v>6.99</x:v>
      </x:c>
      <x:c r="F845" s="71" t="str">
        <x:v>6,99 €</x:v>
      </x:c>
      <x:c r="G845" s="71" t="str">
        <x:v>fr-BE</x:v>
      </x:c>
    </x:row>
    <x:row r="846" ht="27" customHeight="1">
      <x:c r="A846" s="71" t="str">
        <x:v>比利时</x:v>
      </x:c>
      <x:c r="B846" s="71" t="str">
        <x:v>第3组</x:v>
      </x:c>
      <x:c r="C846" s="71" t="str">
        <x:v>EUR</x:v>
      </x:c>
      <x:c r="D846" s="71" t="str">
        <x:v>检测包／5份</x:v>
      </x:c>
      <x:c r="E846" s="73" t="n">
        <x:v>3.49</x:v>
      </x:c>
      <x:c r="F846" s="71" t="str">
        <x:v>3,49 €</x:v>
      </x:c>
      <x:c r="G846" s="71" t="str">
        <x:v>fr-BE</x:v>
      </x:c>
    </x:row>
    <x:row r="847" ht="27" customHeight="1">
      <x:c r="A847" s="71" t="str">
        <x:v>比利时</x:v>
      </x:c>
      <x:c r="B847" s="71" t="str">
        <x:v>第3组</x:v>
      </x:c>
      <x:c r="C847" s="71" t="str">
        <x:v>EUR</x:v>
      </x:c>
      <x:c r="D847" s="71" t="str">
        <x:v>Humanizer包／3份</x:v>
      </x:c>
      <x:c r="E847" s="73" t="n">
        <x:v>4.99</x:v>
      </x:c>
      <x:c r="F847" s="71" t="str">
        <x:v>4,99 €</x:v>
      </x:c>
      <x:c r="G847" s="71" t="str">
        <x:v>fr-BE</x:v>
      </x:c>
    </x:row>
    <x:row r="848" ht="27" customHeight="1">
      <x:c r="A848" s="71" t="str">
        <x:v>比利时</x:v>
      </x:c>
      <x:c r="B848" s="71" t="str">
        <x:v>第3组</x:v>
      </x:c>
      <x:c r="C848" s="71" t="str">
        <x:v>EUR</x:v>
      </x:c>
      <x:c r="D848" s="71" t="str">
        <x:v>Study Pass／月</x:v>
      </x:c>
      <x:c r="E848" s="73" t="n">
        <x:v>0.7</x:v>
      </x:c>
      <x:c r="F848" s="71" t="str">
        <x:v>0,70 €</x:v>
      </x:c>
      <x:c r="G848" s="71" t="str">
        <x:v>fr-BE</x:v>
      </x:c>
    </x:row>
    <x:row r="849" ht="27" customHeight="1">
      <x:c r="A849" s="71" t="str">
        <x:v>百慕大</x:v>
      </x:c>
      <x:c r="B849" s="71" t="str">
        <x:v>第3组</x:v>
      </x:c>
      <x:c r="C849" s="71" t="str">
        <x:v>BMD</x:v>
      </x:c>
      <x:c r="D849" s="71" t="str">
        <x:v>Trial／7天</x:v>
      </x:c>
      <x:c r="E849" s="73" t="n">
        <x:v>2.99</x:v>
      </x:c>
      <x:c r="F849" s="71" t="str">
        <x:v>$2.99</x:v>
      </x:c>
      <x:c r="G849" s="71" t="str">
        <x:v>en-BM</x:v>
      </x:c>
    </x:row>
    <x:row r="850" ht="27" customHeight="1">
      <x:c r="A850" s="71" t="str">
        <x:v>百慕大</x:v>
      </x:c>
      <x:c r="B850" s="71" t="str">
        <x:v>第3组</x:v>
      </x:c>
      <x:c r="C850" s="71" t="str">
        <x:v>BMD</x:v>
      </x:c>
      <x:c r="D850" s="71" t="str">
        <x:v>Basic／月</x:v>
      </x:c>
      <x:c r="E850" s="73" t="n">
        <x:v>19.99</x:v>
      </x:c>
      <x:c r="F850" s="71" t="str">
        <x:v>$19.99</x:v>
      </x:c>
      <x:c r="G850" s="71" t="str">
        <x:v>en-BM</x:v>
      </x:c>
    </x:row>
    <x:row r="851" ht="27" customHeight="1">
      <x:c r="A851" s="71" t="str">
        <x:v>百慕大</x:v>
      </x:c>
      <x:c r="B851" s="71" t="str">
        <x:v>第3组</x:v>
      </x:c>
      <x:c r="C851" s="71" t="str">
        <x:v>BMD</x:v>
      </x:c>
      <x:c r="D851" s="71" t="str">
        <x:v>Plus／月</x:v>
      </x:c>
      <x:c r="E851" s="73" t="n">
        <x:v>39.99</x:v>
      </x:c>
      <x:c r="F851" s="71" t="str">
        <x:v>$39.99</x:v>
      </x:c>
      <x:c r="G851" s="71" t="str">
        <x:v>en-BM</x:v>
      </x:c>
    </x:row>
    <x:row r="852" ht="27" customHeight="1">
      <x:c r="A852" s="71" t="str">
        <x:v>百慕大</x:v>
      </x:c>
      <x:c r="B852" s="71" t="str">
        <x:v>第3组</x:v>
      </x:c>
      <x:c r="C852" s="71" t="str">
        <x:v>BMD</x:v>
      </x:c>
      <x:c r="D852" s="71" t="str">
        <x:v>新Pro／月</x:v>
      </x:c>
      <x:c r="E852" s="73" t="n">
        <x:v>29.99</x:v>
      </x:c>
      <x:c r="F852" s="71" t="str">
        <x:v>$29.99</x:v>
      </x:c>
      <x:c r="G852" s="71" t="str">
        <x:v>en-BM</x:v>
      </x:c>
    </x:row>
    <x:row r="853" ht="27" customHeight="1">
      <x:c r="A853" s="71" t="str">
        <x:v>百慕大</x:v>
      </x:c>
      <x:c r="B853" s="71" t="str">
        <x:v>第3组</x:v>
      </x:c>
      <x:c r="C853" s="71" t="str">
        <x:v>BMD</x:v>
      </x:c>
      <x:c r="D853" s="71" t="str">
        <x:v>Basic／年</x:v>
      </x:c>
      <x:c r="E853" s="73" t="n">
        <x:v>95.99</x:v>
      </x:c>
      <x:c r="F853" s="71" t="str">
        <x:v>$95.99</x:v>
      </x:c>
      <x:c r="G853" s="71" t="str">
        <x:v>en-BM</x:v>
      </x:c>
    </x:row>
    <x:row r="854" ht="27" customHeight="1">
      <x:c r="A854" s="71" t="str">
        <x:v>百慕大</x:v>
      </x:c>
      <x:c r="B854" s="71" t="str">
        <x:v>第3组</x:v>
      </x:c>
      <x:c r="C854" s="71" t="str">
        <x:v>BMD</x:v>
      </x:c>
      <x:c r="D854" s="71" t="str">
        <x:v>Plus／年</x:v>
      </x:c>
      <x:c r="E854" s="73" t="n">
        <x:v>191.99</x:v>
      </x:c>
      <x:c r="F854" s="71" t="str">
        <x:v>$191.99</x:v>
      </x:c>
      <x:c r="G854" s="71" t="str">
        <x:v>en-BM</x:v>
      </x:c>
    </x:row>
    <x:row r="855" ht="27" customHeight="1">
      <x:c r="A855" s="71" t="str">
        <x:v>百慕大</x:v>
      </x:c>
      <x:c r="B855" s="71" t="str">
        <x:v>第3组</x:v>
      </x:c>
      <x:c r="C855" s="71" t="str">
        <x:v>BMD</x:v>
      </x:c>
      <x:c r="D855" s="71" t="str">
        <x:v>新Pro／年</x:v>
      </x:c>
      <x:c r="E855" s="73" t="n">
        <x:v>359.88</x:v>
      </x:c>
      <x:c r="F855" s="71" t="str">
        <x:v>$359.88</x:v>
      </x:c>
      <x:c r="G855" s="71" t="str">
        <x:v>en-BM</x:v>
      </x:c>
    </x:row>
    <x:row r="856" ht="27" customHeight="1">
      <x:c r="A856" s="71" t="str">
        <x:v>百慕大</x:v>
      </x:c>
      <x:c r="B856" s="71" t="str">
        <x:v>第3组</x:v>
      </x:c>
      <x:c r="C856" s="71" t="str">
        <x:v>BMD</x:v>
      </x:c>
      <x:c r="D856" s="71" t="str">
        <x:v>作业包／3份</x:v>
      </x:c>
      <x:c r="E856" s="73" t="n">
        <x:v>9.99</x:v>
      </x:c>
      <x:c r="F856" s="71" t="str">
        <x:v>$9.99</x:v>
      </x:c>
      <x:c r="G856" s="71" t="str">
        <x:v>en-BM</x:v>
      </x:c>
    </x:row>
    <x:row r="857" ht="27" customHeight="1">
      <x:c r="A857" s="71" t="str">
        <x:v>百慕大</x:v>
      </x:c>
      <x:c r="B857" s="71" t="str">
        <x:v>第3组</x:v>
      </x:c>
      <x:c r="C857" s="71" t="str">
        <x:v>BMD</x:v>
      </x:c>
      <x:c r="D857" s="71" t="str">
        <x:v>检测包／5份</x:v>
      </x:c>
      <x:c r="E857" s="73" t="n">
        <x:v>4.99</x:v>
      </x:c>
      <x:c r="F857" s="71" t="str">
        <x:v>$4.99</x:v>
      </x:c>
      <x:c r="G857" s="71" t="str">
        <x:v>en-BM</x:v>
      </x:c>
    </x:row>
    <x:row r="858" ht="27" customHeight="1">
      <x:c r="A858" s="71" t="str">
        <x:v>百慕大</x:v>
      </x:c>
      <x:c r="B858" s="71" t="str">
        <x:v>第3组</x:v>
      </x:c>
      <x:c r="C858" s="71" t="str">
        <x:v>BMD</x:v>
      </x:c>
      <x:c r="D858" s="71" t="str">
        <x:v>Humanizer包／3份</x:v>
      </x:c>
      <x:c r="E858" s="73" t="n">
        <x:v>6.99</x:v>
      </x:c>
      <x:c r="F858" s="71" t="str">
        <x:v>$6.99</x:v>
      </x:c>
      <x:c r="G858" s="71" t="str">
        <x:v>en-BM</x:v>
      </x:c>
    </x:row>
    <x:row r="859" ht="27" customHeight="1">
      <x:c r="A859" s="71" t="str">
        <x:v>百慕大</x:v>
      </x:c>
      <x:c r="B859" s="71" t="str">
        <x:v>第3组</x:v>
      </x:c>
      <x:c r="C859" s="71" t="str">
        <x:v>BMD</x:v>
      </x:c>
      <x:c r="D859" s="71" t="str">
        <x:v>Study Pass／月</x:v>
      </x:c>
      <x:c r="E859" s="73" t="n">
        <x:v>0.99</x:v>
      </x:c>
      <x:c r="F859" s="71" t="str">
        <x:v>$0.99</x:v>
      </x:c>
      <x:c r="G859" s="71" t="str">
        <x:v>en-BM</x:v>
      </x:c>
    </x:row>
    <x:row r="860" ht="27" customHeight="1">
      <x:c r="A860" s="71" t="str">
        <x:v>文莱</x:v>
      </x:c>
      <x:c r="B860" s="71" t="str">
        <x:v>第3组</x:v>
      </x:c>
      <x:c r="C860" s="71" t="str">
        <x:v>BND</x:v>
      </x:c>
      <x:c r="D860" s="71" t="str">
        <x:v>Trial／7天</x:v>
      </x:c>
      <x:c r="E860" s="73" t="n">
        <x:v>1.99</x:v>
      </x:c>
      <x:c r="F860" s="71" t="str">
        <x:v>$ 1,99</x:v>
      </x:c>
      <x:c r="G860" s="71" t="str">
        <x:v>ms-BN</x:v>
      </x:c>
    </x:row>
    <x:row r="861" ht="27" customHeight="1">
      <x:c r="A861" s="71" t="str">
        <x:v>文莱</x:v>
      </x:c>
      <x:c r="B861" s="71" t="str">
        <x:v>第3组</x:v>
      </x:c>
      <x:c r="C861" s="71" t="str">
        <x:v>BND</x:v>
      </x:c>
      <x:c r="D861" s="71" t="str">
        <x:v>Basic／月</x:v>
      </x:c>
      <x:c r="E861" s="73" t="n">
        <x:v>13.99</x:v>
      </x:c>
      <x:c r="F861" s="71" t="str">
        <x:v>$ 13,99</x:v>
      </x:c>
      <x:c r="G861" s="71" t="str">
        <x:v>ms-BN</x:v>
      </x:c>
    </x:row>
    <x:row r="862" ht="27" customHeight="1">
      <x:c r="A862" s="71" t="str">
        <x:v>文莱</x:v>
      </x:c>
      <x:c r="B862" s="71" t="str">
        <x:v>第3组</x:v>
      </x:c>
      <x:c r="C862" s="71" t="str">
        <x:v>BND</x:v>
      </x:c>
      <x:c r="D862" s="71" t="str">
        <x:v>Plus／月</x:v>
      </x:c>
      <x:c r="E862" s="73" t="n">
        <x:v>27.99</x:v>
      </x:c>
      <x:c r="F862" s="71" t="str">
        <x:v>$ 27,99</x:v>
      </x:c>
      <x:c r="G862" s="71" t="str">
        <x:v>ms-BN</x:v>
      </x:c>
    </x:row>
    <x:row r="863" ht="27" customHeight="1">
      <x:c r="A863" s="71" t="str">
        <x:v>文莱</x:v>
      </x:c>
      <x:c r="B863" s="71" t="str">
        <x:v>第3组</x:v>
      </x:c>
      <x:c r="C863" s="71" t="str">
        <x:v>BND</x:v>
      </x:c>
      <x:c r="D863" s="71" t="str">
        <x:v>新Pro／月</x:v>
      </x:c>
      <x:c r="E863" s="73" t="n">
        <x:v>20.99</x:v>
      </x:c>
      <x:c r="F863" s="71" t="str">
        <x:v>$ 20,99</x:v>
      </x:c>
      <x:c r="G863" s="71" t="str">
        <x:v>ms-BN</x:v>
      </x:c>
    </x:row>
    <x:row r="864" ht="27" customHeight="1">
      <x:c r="A864" s="71" t="str">
        <x:v>文莱</x:v>
      </x:c>
      <x:c r="B864" s="71" t="str">
        <x:v>第3组</x:v>
      </x:c>
      <x:c r="C864" s="71" t="str">
        <x:v>BND</x:v>
      </x:c>
      <x:c r="D864" s="71" t="str">
        <x:v>Basic／年</x:v>
      </x:c>
      <x:c r="E864" s="73" t="n">
        <x:v>67.99</x:v>
      </x:c>
      <x:c r="F864" s="71" t="str">
        <x:v>$ 67,99</x:v>
      </x:c>
      <x:c r="G864" s="71" t="str">
        <x:v>ms-BN</x:v>
      </x:c>
    </x:row>
    <x:row r="865" ht="27" customHeight="1">
      <x:c r="A865" s="71" t="str">
        <x:v>文莱</x:v>
      </x:c>
      <x:c r="B865" s="71" t="str">
        <x:v>第3组</x:v>
      </x:c>
      <x:c r="C865" s="71" t="str">
        <x:v>BND</x:v>
      </x:c>
      <x:c r="D865" s="71" t="str">
        <x:v>Plus／年</x:v>
      </x:c>
      <x:c r="E865" s="73" t="n">
        <x:v>134.99</x:v>
      </x:c>
      <x:c r="F865" s="71" t="str">
        <x:v>$ 134,99</x:v>
      </x:c>
      <x:c r="G865" s="71" t="str">
        <x:v>ms-BN</x:v>
      </x:c>
    </x:row>
    <x:row r="866" ht="27" customHeight="1">
      <x:c r="A866" s="71" t="str">
        <x:v>文莱</x:v>
      </x:c>
      <x:c r="B866" s="71" t="str">
        <x:v>第3组</x:v>
      </x:c>
      <x:c r="C866" s="71" t="str">
        <x:v>BND</x:v>
      </x:c>
      <x:c r="D866" s="71" t="str">
        <x:v>新Pro／年</x:v>
      </x:c>
      <x:c r="E866" s="73" t="n">
        <x:v>251.88</x:v>
      </x:c>
      <x:c r="F866" s="71" t="str">
        <x:v>$ 251,88</x:v>
      </x:c>
      <x:c r="G866" s="71" t="str">
        <x:v>ms-BN</x:v>
      </x:c>
    </x:row>
    <x:row r="867" ht="27" customHeight="1">
      <x:c r="A867" s="71" t="str">
        <x:v>文莱</x:v>
      </x:c>
      <x:c r="B867" s="71" t="str">
        <x:v>第3组</x:v>
      </x:c>
      <x:c r="C867" s="71" t="str">
        <x:v>BND</x:v>
      </x:c>
      <x:c r="D867" s="71" t="str">
        <x:v>作业包／3份</x:v>
      </x:c>
      <x:c r="E867" s="73" t="n">
        <x:v>6.99</x:v>
      </x:c>
      <x:c r="F867" s="71" t="str">
        <x:v>$ 6,99</x:v>
      </x:c>
      <x:c r="G867" s="71" t="str">
        <x:v>ms-BN</x:v>
      </x:c>
    </x:row>
    <x:row r="868" ht="27" customHeight="1">
      <x:c r="A868" s="71" t="str">
        <x:v>文莱</x:v>
      </x:c>
      <x:c r="B868" s="71" t="str">
        <x:v>第3组</x:v>
      </x:c>
      <x:c r="C868" s="71" t="str">
        <x:v>BND</x:v>
      </x:c>
      <x:c r="D868" s="71" t="str">
        <x:v>检测包／5份</x:v>
      </x:c>
      <x:c r="E868" s="73" t="n">
        <x:v>3.49</x:v>
      </x:c>
      <x:c r="F868" s="71" t="str">
        <x:v>$ 3,49</x:v>
      </x:c>
      <x:c r="G868" s="71" t="str">
        <x:v>ms-BN</x:v>
      </x:c>
    </x:row>
    <x:row r="869" ht="27" customHeight="1">
      <x:c r="A869" s="71" t="str">
        <x:v>文莱</x:v>
      </x:c>
      <x:c r="B869" s="71" t="str">
        <x:v>第3组</x:v>
      </x:c>
      <x:c r="C869" s="71" t="str">
        <x:v>BND</x:v>
      </x:c>
      <x:c r="D869" s="71" t="str">
        <x:v>Humanizer包／3份</x:v>
      </x:c>
      <x:c r="E869" s="73" t="n">
        <x:v>4.99</x:v>
      </x:c>
      <x:c r="F869" s="71" t="str">
        <x:v>$ 4,99</x:v>
      </x:c>
      <x:c r="G869" s="71" t="str">
        <x:v>ms-BN</x:v>
      </x:c>
    </x:row>
    <x:row r="870" ht="27" customHeight="1">
      <x:c r="A870" s="71" t="str">
        <x:v>文莱</x:v>
      </x:c>
      <x:c r="B870" s="71" t="str">
        <x:v>第3组</x:v>
      </x:c>
      <x:c r="C870" s="71" t="str">
        <x:v>BND</x:v>
      </x:c>
      <x:c r="D870" s="71" t="str">
        <x:v>Study Pass／月</x:v>
      </x:c>
      <x:c r="E870" s="73" t="n">
        <x:v>0.77</x:v>
      </x:c>
      <x:c r="F870" s="71" t="str">
        <x:v>$ 0,77</x:v>
      </x:c>
      <x:c r="G870" s="71" t="str">
        <x:v>ms-BN</x:v>
      </x:c>
    </x:row>
    <x:row r="871" ht="27" customHeight="1">
      <x:c r="A871" s="71" t="str">
        <x:v>柬埔寨</x:v>
      </x:c>
      <x:c r="B871" s="71" t="str">
        <x:v>第3组</x:v>
      </x:c>
      <x:c r="C871" s="71" t="str">
        <x:v>KHR</x:v>
      </x:c>
      <x:c r="D871" s="71" t="str">
        <x:v>Trial／7天</x:v>
      </x:c>
      <x:c r="E871" s="72" t="n">
        <x:v>2999</x:v>
      </x:c>
      <x:c r="F871" s="71" t="str">
        <x:v>2,999៛</x:v>
      </x:c>
      <x:c r="G871" s="71" t="str">
        <x:v>km-KH</x:v>
      </x:c>
    </x:row>
    <x:row r="872" ht="27" customHeight="1">
      <x:c r="A872" s="71" t="str">
        <x:v>柬埔寨</x:v>
      </x:c>
      <x:c r="B872" s="71" t="str">
        <x:v>第3组</x:v>
      </x:c>
      <x:c r="C872" s="71" t="str">
        <x:v>KHR</x:v>
      </x:c>
      <x:c r="D872" s="71" t="str">
        <x:v>Basic／月</x:v>
      </x:c>
      <x:c r="E872" s="72" t="n">
        <x:v>19900</x:v>
      </x:c>
      <x:c r="F872" s="71" t="str">
        <x:v>19,900៛</x:v>
      </x:c>
      <x:c r="G872" s="71" t="str">
        <x:v>km-KH</x:v>
      </x:c>
    </x:row>
    <x:row r="873" ht="27" customHeight="1">
      <x:c r="A873" s="71" t="str">
        <x:v>柬埔寨</x:v>
      </x:c>
      <x:c r="B873" s="71" t="str">
        <x:v>第3组</x:v>
      </x:c>
      <x:c r="C873" s="71" t="str">
        <x:v>KHR</x:v>
      </x:c>
      <x:c r="D873" s="71" t="str">
        <x:v>Plus／月</x:v>
      </x:c>
      <x:c r="E873" s="72" t="n">
        <x:v>40900</x:v>
      </x:c>
      <x:c r="F873" s="71" t="str">
        <x:v>40,900៛</x:v>
      </x:c>
      <x:c r="G873" s="71" t="str">
        <x:v>km-KH</x:v>
      </x:c>
    </x:row>
    <x:row r="874" ht="27" customHeight="1">
      <x:c r="A874" s="71" t="str">
        <x:v>柬埔寨</x:v>
      </x:c>
      <x:c r="B874" s="71" t="str">
        <x:v>第3组</x:v>
      </x:c>
      <x:c r="C874" s="71" t="str">
        <x:v>KHR</x:v>
      </x:c>
      <x:c r="D874" s="71" t="str">
        <x:v>新Pro／月</x:v>
      </x:c>
      <x:c r="E874" s="72" t="n">
        <x:v>30900</x:v>
      </x:c>
      <x:c r="F874" s="71" t="str">
        <x:v>30,900៛</x:v>
      </x:c>
      <x:c r="G874" s="71" t="str">
        <x:v>km-KH</x:v>
      </x:c>
    </x:row>
    <x:row r="875" ht="27" customHeight="1">
      <x:c r="A875" s="71" t="str">
        <x:v>柬埔寨</x:v>
      </x:c>
      <x:c r="B875" s="71" t="str">
        <x:v>第3组</x:v>
      </x:c>
      <x:c r="C875" s="71" t="str">
        <x:v>KHR</x:v>
      </x:c>
      <x:c r="D875" s="71" t="str">
        <x:v>Basic／年</x:v>
      </x:c>
      <x:c r="E875" s="72" t="n">
        <x:v>96900</x:v>
      </x:c>
      <x:c r="F875" s="71" t="str">
        <x:v>96,900៛</x:v>
      </x:c>
      <x:c r="G875" s="71" t="str">
        <x:v>km-KH</x:v>
      </x:c>
    </x:row>
    <x:row r="876" ht="27" customHeight="1">
      <x:c r="A876" s="71" t="str">
        <x:v>柬埔寨</x:v>
      </x:c>
      <x:c r="B876" s="71" t="str">
        <x:v>第3组</x:v>
      </x:c>
      <x:c r="C876" s="71" t="str">
        <x:v>KHR</x:v>
      </x:c>
      <x:c r="D876" s="71" t="str">
        <x:v>Plus／年</x:v>
      </x:c>
      <x:c r="E876" s="72" t="n">
        <x:v>199000</x:v>
      </x:c>
      <x:c r="F876" s="71" t="str">
        <x:v>199,000៛</x:v>
      </x:c>
      <x:c r="G876" s="71" t="str">
        <x:v>km-KH</x:v>
      </x:c>
    </x:row>
    <x:row r="877" ht="27" customHeight="1">
      <x:c r="A877" s="71" t="str">
        <x:v>柬埔寨</x:v>
      </x:c>
      <x:c r="B877" s="71" t="str">
        <x:v>第3组</x:v>
      </x:c>
      <x:c r="C877" s="71" t="str">
        <x:v>KHR</x:v>
      </x:c>
      <x:c r="D877" s="71" t="str">
        <x:v>新Pro／年</x:v>
      </x:c>
      <x:c r="E877" s="72" t="n">
        <x:v>370800</x:v>
      </x:c>
      <x:c r="F877" s="71" t="str">
        <x:v>370,800៛</x:v>
      </x:c>
      <x:c r="G877" s="71" t="str">
        <x:v>km-KH</x:v>
      </x:c>
    </x:row>
    <x:row r="878" ht="27" customHeight="1">
      <x:c r="A878" s="71" t="str">
        <x:v>柬埔寨</x:v>
      </x:c>
      <x:c r="B878" s="71" t="str">
        <x:v>第3组</x:v>
      </x:c>
      <x:c r="C878" s="71" t="str">
        <x:v>KHR</x:v>
      </x:c>
      <x:c r="D878" s="71" t="str">
        <x:v>作业包／3份</x:v>
      </x:c>
      <x:c r="E878" s="72" t="n">
        <x:v>9900</x:v>
      </x:c>
      <x:c r="F878" s="71" t="str">
        <x:v>9,900៛</x:v>
      </x:c>
      <x:c r="G878" s="71" t="str">
        <x:v>km-KH</x:v>
      </x:c>
    </x:row>
    <x:row r="879" ht="27" customHeight="1">
      <x:c r="A879" s="71" t="str">
        <x:v>柬埔寨</x:v>
      </x:c>
      <x:c r="B879" s="71" t="str">
        <x:v>第3组</x:v>
      </x:c>
      <x:c r="C879" s="71" t="str">
        <x:v>KHR</x:v>
      </x:c>
      <x:c r="D879" s="71" t="str">
        <x:v>检测包／5份</x:v>
      </x:c>
      <x:c r="E879" s="72" t="n">
        <x:v>5099</x:v>
      </x:c>
      <x:c r="F879" s="71" t="str">
        <x:v>5,099៛</x:v>
      </x:c>
      <x:c r="G879" s="71" t="str">
        <x:v>km-KH</x:v>
      </x:c>
    </x:row>
    <x:row r="880" ht="27" customHeight="1">
      <x:c r="A880" s="71" t="str">
        <x:v>柬埔寨</x:v>
      </x:c>
      <x:c r="B880" s="71" t="str">
        <x:v>第3组</x:v>
      </x:c>
      <x:c r="C880" s="71" t="str">
        <x:v>KHR</x:v>
      </x:c>
      <x:c r="D880" s="71" t="str">
        <x:v>Humanizer包／3份</x:v>
      </x:c>
      <x:c r="E880" s="72" t="n">
        <x:v>7099</x:v>
      </x:c>
      <x:c r="F880" s="71" t="str">
        <x:v>7,099៛</x:v>
      </x:c>
      <x:c r="G880" s="71" t="str">
        <x:v>km-KH</x:v>
      </x:c>
    </x:row>
    <x:row r="881" ht="27" customHeight="1">
      <x:c r="A881" s="71" t="str">
        <x:v>柬埔寨</x:v>
      </x:c>
      <x:c r="B881" s="71" t="str">
        <x:v>第3组</x:v>
      </x:c>
      <x:c r="C881" s="71" t="str">
        <x:v>KHR</x:v>
      </x:c>
      <x:c r="D881" s="71" t="str">
        <x:v>Study Pass／月</x:v>
      </x:c>
      <x:c r="E881" s="72" t="n">
        <x:v>2400</x:v>
      </x:c>
      <x:c r="F881" s="71" t="str">
        <x:v>2,400៛</x:v>
      </x:c>
      <x:c r="G881" s="71" t="str">
        <x:v>km-KH</x:v>
      </x:c>
    </x:row>
    <x:row r="882" ht="27" customHeight="1">
      <x:c r="A882" s="71" t="str">
        <x:v>喀麦隆</x:v>
      </x:c>
      <x:c r="B882" s="71" t="str">
        <x:v>第3组</x:v>
      </x:c>
      <x:c r="C882" s="71" t="str">
        <x:v>XAF</x:v>
      </x:c>
      <x:c r="D882" s="71" t="str">
        <x:v>Trial／7天</x:v>
      </x:c>
      <x:c r="E882" s="72" t="n">
        <x:v>349</x:v>
      </x:c>
      <x:c r="F882" s="71" t="str">
        <x:v>349 FCFA</x:v>
      </x:c>
      <x:c r="G882" s="71" t="str">
        <x:v>fr-CM</x:v>
      </x:c>
    </x:row>
    <x:row r="883" ht="27" customHeight="1">
      <x:c r="A883" s="71" t="str">
        <x:v>喀麦隆</x:v>
      </x:c>
      <x:c r="B883" s="71" t="str">
        <x:v>第3组</x:v>
      </x:c>
      <x:c r="C883" s="71" t="str">
        <x:v>XAF</x:v>
      </x:c>
      <x:c r="D883" s="71" t="str">
        <x:v>Basic／月</x:v>
      </x:c>
      <x:c r="E883" s="72" t="n">
        <x:v>2299</x:v>
      </x:c>
      <x:c r="F883" s="71" t="str">
        <x:v>2 299 FCFA</x:v>
      </x:c>
      <x:c r="G883" s="71" t="str">
        <x:v>fr-CM</x:v>
      </x:c>
    </x:row>
    <x:row r="884" ht="27" customHeight="1">
      <x:c r="A884" s="71" t="str">
        <x:v>喀麦隆</x:v>
      </x:c>
      <x:c r="B884" s="71" t="str">
        <x:v>第3组</x:v>
      </x:c>
      <x:c r="C884" s="71" t="str">
        <x:v>XAF</x:v>
      </x:c>
      <x:c r="D884" s="71" t="str">
        <x:v>Plus／月</x:v>
      </x:c>
      <x:c r="E884" s="72" t="n">
        <x:v>4699</x:v>
      </x:c>
      <x:c r="F884" s="71" t="str">
        <x:v>4 699 FCFA</x:v>
      </x:c>
      <x:c r="G884" s="71" t="str">
        <x:v>fr-CM</x:v>
      </x:c>
    </x:row>
    <x:row r="885" ht="27" customHeight="1">
      <x:c r="A885" s="71" t="str">
        <x:v>喀麦隆</x:v>
      </x:c>
      <x:c r="B885" s="71" t="str">
        <x:v>第3组</x:v>
      </x:c>
      <x:c r="C885" s="71" t="str">
        <x:v>XAF</x:v>
      </x:c>
      <x:c r="D885" s="71" t="str">
        <x:v>新Pro／月</x:v>
      </x:c>
      <x:c r="E885" s="72" t="n">
        <x:v>3499</x:v>
      </x:c>
      <x:c r="F885" s="71" t="str">
        <x:v>3 499 FCFA</x:v>
      </x:c>
      <x:c r="G885" s="71" t="str">
        <x:v>fr-CM</x:v>
      </x:c>
    </x:row>
    <x:row r="886" ht="27" customHeight="1">
      <x:c r="A886" s="71" t="str">
        <x:v>喀麦隆</x:v>
      </x:c>
      <x:c r="B886" s="71" t="str">
        <x:v>第3组</x:v>
      </x:c>
      <x:c r="C886" s="71" t="str">
        <x:v>XAF</x:v>
      </x:c>
      <x:c r="D886" s="71" t="str">
        <x:v>Basic／年</x:v>
      </x:c>
      <x:c r="E886" s="72" t="n">
        <x:v>10900</x:v>
      </x:c>
      <x:c r="F886" s="71" t="str">
        <x:v>10 900 FCFA</x:v>
      </x:c>
      <x:c r="G886" s="71" t="str">
        <x:v>fr-CM</x:v>
      </x:c>
    </x:row>
    <x:row r="887" ht="27" customHeight="1">
      <x:c r="A887" s="71" t="str">
        <x:v>喀麦隆</x:v>
      </x:c>
      <x:c r="B887" s="71" t="str">
        <x:v>第3组</x:v>
      </x:c>
      <x:c r="C887" s="71" t="str">
        <x:v>XAF</x:v>
      </x:c>
      <x:c r="D887" s="71" t="str">
        <x:v>Plus／年</x:v>
      </x:c>
      <x:c r="E887" s="72" t="n">
        <x:v>22900</x:v>
      </x:c>
      <x:c r="F887" s="71" t="str">
        <x:v>22 900 FCFA</x:v>
      </x:c>
      <x:c r="G887" s="71" t="str">
        <x:v>fr-CM</x:v>
      </x:c>
    </x:row>
    <x:row r="888" ht="27" customHeight="1">
      <x:c r="A888" s="71" t="str">
        <x:v>喀麦隆</x:v>
      </x:c>
      <x:c r="B888" s="71" t="str">
        <x:v>第3组</x:v>
      </x:c>
      <x:c r="C888" s="71" t="str">
        <x:v>XAF</x:v>
      </x:c>
      <x:c r="D888" s="71" t="str">
        <x:v>新Pro／年</x:v>
      </x:c>
      <x:c r="E888" s="72" t="n">
        <x:v>41988</x:v>
      </x:c>
      <x:c r="F888" s="71" t="str">
        <x:v>41 988 FCFA</x:v>
      </x:c>
      <x:c r="G888" s="71" t="str">
        <x:v>fr-CM</x:v>
      </x:c>
    </x:row>
    <x:row r="889" ht="27" customHeight="1">
      <x:c r="A889" s="71" t="str">
        <x:v>喀麦隆</x:v>
      </x:c>
      <x:c r="B889" s="71" t="str">
        <x:v>第3组</x:v>
      </x:c>
      <x:c r="C889" s="71" t="str">
        <x:v>XAF</x:v>
      </x:c>
      <x:c r="D889" s="71" t="str">
        <x:v>作业包／3份</x:v>
      </x:c>
      <x:c r="E889" s="72" t="n">
        <x:v>1199</x:v>
      </x:c>
      <x:c r="F889" s="71" t="str">
        <x:v>1 199 FCFA</x:v>
      </x:c>
      <x:c r="G889" s="71" t="str">
        <x:v>fr-CM</x:v>
      </x:c>
    </x:row>
    <x:row r="890" ht="27" customHeight="1">
      <x:c r="A890" s="71" t="str">
        <x:v>喀麦隆</x:v>
      </x:c>
      <x:c r="B890" s="71" t="str">
        <x:v>第3组</x:v>
      </x:c>
      <x:c r="C890" s="71" t="str">
        <x:v>XAF</x:v>
      </x:c>
      <x:c r="D890" s="71" t="str">
        <x:v>检测包／5份</x:v>
      </x:c>
      <x:c r="E890" s="72" t="n">
        <x:v>579</x:v>
      </x:c>
      <x:c r="F890" s="71" t="str">
        <x:v>579 FCFA</x:v>
      </x:c>
      <x:c r="G890" s="71" t="str">
        <x:v>fr-CM</x:v>
      </x:c>
    </x:row>
    <x:row r="891" ht="27" customHeight="1">
      <x:c r="A891" s="71" t="str">
        <x:v>喀麦隆</x:v>
      </x:c>
      <x:c r="B891" s="71" t="str">
        <x:v>第3组</x:v>
      </x:c>
      <x:c r="C891" s="71" t="str">
        <x:v>XAF</x:v>
      </x:c>
      <x:c r="D891" s="71" t="str">
        <x:v>Humanizer包／3份</x:v>
      </x:c>
      <x:c r="E891" s="72" t="n">
        <x:v>819</x:v>
      </x:c>
      <x:c r="F891" s="71" t="str">
        <x:v>819 FCFA</x:v>
      </x:c>
      <x:c r="G891" s="71" t="str">
        <x:v>fr-CM</x:v>
      </x:c>
    </x:row>
    <x:row r="892" ht="27" customHeight="1">
      <x:c r="A892" s="71" t="str">
        <x:v>喀麦隆</x:v>
      </x:c>
      <x:c r="B892" s="71" t="str">
        <x:v>第3组</x:v>
      </x:c>
      <x:c r="C892" s="71" t="str">
        <x:v>XAF</x:v>
      </x:c>
      <x:c r="D892" s="71" t="str">
        <x:v>Study Pass／月</x:v>
      </x:c>
      <x:c r="E892" s="72" t="n">
        <x:v>350</x:v>
      </x:c>
      <x:c r="F892" s="71" t="str">
        <x:v>350 FCFA</x:v>
      </x:c>
      <x:c r="G892" s="71" t="str">
        <x:v>fr-CM</x:v>
      </x:c>
    </x:row>
    <x:row r="893" ht="27" customHeight="1">
      <x:c r="A893" s="71" t="str">
        <x:v>智利</x:v>
      </x:c>
      <x:c r="B893" s="71" t="str">
        <x:v>第3组</x:v>
      </x:c>
      <x:c r="C893" s="71" t="str">
        <x:v>CLP</x:v>
      </x:c>
      <x:c r="D893" s="71" t="str">
        <x:v>Trial／7天</x:v>
      </x:c>
      <x:c r="E893" s="72" t="n">
        <x:v>1299</x:v>
      </x:c>
      <x:c r="F893" s="71" t="str">
        <x:v>$1.299</x:v>
      </x:c>
      <x:c r="G893" s="71" t="str">
        <x:v>es-CL</x:v>
      </x:c>
    </x:row>
    <x:row r="894" ht="27" customHeight="1">
      <x:c r="A894" s="71" t="str">
        <x:v>智利</x:v>
      </x:c>
      <x:c r="B894" s="71" t="str">
        <x:v>第3组</x:v>
      </x:c>
      <x:c r="C894" s="71" t="str">
        <x:v>CLP</x:v>
      </x:c>
      <x:c r="D894" s="71" t="str">
        <x:v>Basic／月</x:v>
      </x:c>
      <x:c r="E894" s="72" t="n">
        <x:v>8799</x:v>
      </x:c>
      <x:c r="F894" s="71" t="str">
        <x:v>$8.799</x:v>
      </x:c>
      <x:c r="G894" s="71" t="str">
        <x:v>es-CL</x:v>
      </x:c>
    </x:row>
    <x:row r="895" ht="27" customHeight="1">
      <x:c r="A895" s="71" t="str">
        <x:v>智利</x:v>
      </x:c>
      <x:c r="B895" s="71" t="str">
        <x:v>第3组</x:v>
      </x:c>
      <x:c r="C895" s="71" t="str">
        <x:v>CLP</x:v>
      </x:c>
      <x:c r="D895" s="71" t="str">
        <x:v>Plus／月</x:v>
      </x:c>
      <x:c r="E895" s="72" t="n">
        <x:v>17900</x:v>
      </x:c>
      <x:c r="F895" s="71" t="str">
        <x:v>$17.900</x:v>
      </x:c>
      <x:c r="G895" s="71" t="str">
        <x:v>es-CL</x:v>
      </x:c>
    </x:row>
    <x:row r="896" ht="27" customHeight="1">
      <x:c r="A896" s="71" t="str">
        <x:v>智利</x:v>
      </x:c>
      <x:c r="B896" s="71" t="str">
        <x:v>第3组</x:v>
      </x:c>
      <x:c r="C896" s="71" t="str">
        <x:v>CLP</x:v>
      </x:c>
      <x:c r="D896" s="71" t="str">
        <x:v>新Pro／月</x:v>
      </x:c>
      <x:c r="E896" s="72" t="n">
        <x:v>12900</x:v>
      </x:c>
      <x:c r="F896" s="71" t="str">
        <x:v>$12.900</x:v>
      </x:c>
      <x:c r="G896" s="71" t="str">
        <x:v>es-CL</x:v>
      </x:c>
    </x:row>
    <x:row r="897" ht="27" customHeight="1">
      <x:c r="A897" s="71" t="str">
        <x:v>智利</x:v>
      </x:c>
      <x:c r="B897" s="71" t="str">
        <x:v>第3组</x:v>
      </x:c>
      <x:c r="C897" s="71" t="str">
        <x:v>CLP</x:v>
      </x:c>
      <x:c r="D897" s="71" t="str">
        <x:v>Basic／年</x:v>
      </x:c>
      <x:c r="E897" s="72" t="n">
        <x:v>41900</x:v>
      </x:c>
      <x:c r="F897" s="71" t="str">
        <x:v>$41.900</x:v>
      </x:c>
      <x:c r="G897" s="71" t="str">
        <x:v>es-CL</x:v>
      </x:c>
    </x:row>
    <x:row r="898" ht="27" customHeight="1">
      <x:c r="A898" s="71" t="str">
        <x:v>智利</x:v>
      </x:c>
      <x:c r="B898" s="71" t="str">
        <x:v>第3组</x:v>
      </x:c>
      <x:c r="C898" s="71" t="str">
        <x:v>CLP</x:v>
      </x:c>
      <x:c r="D898" s="71" t="str">
        <x:v>Plus／年</x:v>
      </x:c>
      <x:c r="E898" s="72" t="n">
        <x:v>84900</x:v>
      </x:c>
      <x:c r="F898" s="71" t="str">
        <x:v>$84.900</x:v>
      </x:c>
      <x:c r="G898" s="71" t="str">
        <x:v>es-CL</x:v>
      </x:c>
    </x:row>
    <x:row r="899" ht="27" customHeight="1">
      <x:c r="A899" s="71" t="str">
        <x:v>智利</x:v>
      </x:c>
      <x:c r="B899" s="71" t="str">
        <x:v>第3组</x:v>
      </x:c>
      <x:c r="C899" s="71" t="str">
        <x:v>CLP</x:v>
      </x:c>
      <x:c r="D899" s="71" t="str">
        <x:v>新Pro／年</x:v>
      </x:c>
      <x:c r="E899" s="72" t="n">
        <x:v>154800</x:v>
      </x:c>
      <x:c r="F899" s="71" t="str">
        <x:v>$154.800</x:v>
      </x:c>
      <x:c r="G899" s="71" t="str">
        <x:v>es-CL</x:v>
      </x:c>
    </x:row>
    <x:row r="900" ht="27" customHeight="1">
      <x:c r="A900" s="71" t="str">
        <x:v>智利</x:v>
      </x:c>
      <x:c r="B900" s="71" t="str">
        <x:v>第3组</x:v>
      </x:c>
      <x:c r="C900" s="71" t="str">
        <x:v>CLP</x:v>
      </x:c>
      <x:c r="D900" s="71" t="str">
        <x:v>作业包／3份</x:v>
      </x:c>
      <x:c r="E900" s="72" t="n">
        <x:v>4399</x:v>
      </x:c>
      <x:c r="F900" s="71" t="str">
        <x:v>$4.399</x:v>
      </x:c>
      <x:c r="G900" s="71" t="str">
        <x:v>es-CL</x:v>
      </x:c>
    </x:row>
    <x:row r="901" ht="27" customHeight="1">
      <x:c r="A901" s="71" t="str">
        <x:v>智利</x:v>
      </x:c>
      <x:c r="B901" s="71" t="str">
        <x:v>第3组</x:v>
      </x:c>
      <x:c r="C901" s="71" t="str">
        <x:v>CLP</x:v>
      </x:c>
      <x:c r="D901" s="71" t="str">
        <x:v>检测包／5份</x:v>
      </x:c>
      <x:c r="E901" s="72" t="n">
        <x:v>2199</x:v>
      </x:c>
      <x:c r="F901" s="71" t="str">
        <x:v>$2.199</x:v>
      </x:c>
      <x:c r="G901" s="71" t="str">
        <x:v>es-CL</x:v>
      </x:c>
    </x:row>
    <x:row r="902" ht="27" customHeight="1">
      <x:c r="A902" s="71" t="str">
        <x:v>智利</x:v>
      </x:c>
      <x:c r="B902" s="71" t="str">
        <x:v>第3组</x:v>
      </x:c>
      <x:c r="C902" s="71" t="str">
        <x:v>CLP</x:v>
      </x:c>
      <x:c r="D902" s="71" t="str">
        <x:v>Humanizer包／3份</x:v>
      </x:c>
      <x:c r="E902" s="72" t="n">
        <x:v>3099</x:v>
      </x:c>
      <x:c r="F902" s="71" t="str">
        <x:v>$3.099</x:v>
      </x:c>
      <x:c r="G902" s="71" t="str">
        <x:v>es-CL</x:v>
      </x:c>
    </x:row>
    <x:row r="903" ht="27" customHeight="1">
      <x:c r="A903" s="71" t="str">
        <x:v>智利</x:v>
      </x:c>
      <x:c r="B903" s="71" t="str">
        <x:v>第3组</x:v>
      </x:c>
      <x:c r="C903" s="71" t="str">
        <x:v>CLP</x:v>
      </x:c>
      <x:c r="D903" s="71" t="str">
        <x:v>Study Pass／月</x:v>
      </x:c>
      <x:c r="E903" s="72" t="n">
        <x:v>590</x:v>
      </x:c>
      <x:c r="F903" s="71" t="str">
        <x:v>$590</x:v>
      </x:c>
      <x:c r="G903" s="71" t="str">
        <x:v>es-CL</x:v>
      </x:c>
    </x:row>
    <x:row r="904" ht="27" customHeight="1">
      <x:c r="A904" s="71" t="str">
        <x:v>哥斯达黎加</x:v>
      </x:c>
      <x:c r="B904" s="71" t="str">
        <x:v>第3组</x:v>
      </x:c>
      <x:c r="C904" s="71" t="str">
        <x:v>CRC</x:v>
      </x:c>
      <x:c r="D904" s="71" t="str">
        <x:v>Trial／7天</x:v>
      </x:c>
      <x:c r="E904" s="72" t="n">
        <x:v>679</x:v>
      </x:c>
      <x:c r="F904" s="71" t="str">
        <x:v>₡679</x:v>
      </x:c>
      <x:c r="G904" s="71" t="str">
        <x:v>es-CR</x:v>
      </x:c>
    </x:row>
    <x:row r="905" ht="27" customHeight="1">
      <x:c r="A905" s="71" t="str">
        <x:v>哥斯达黎加</x:v>
      </x:c>
      <x:c r="B905" s="71" t="str">
        <x:v>第3组</x:v>
      </x:c>
      <x:c r="C905" s="71" t="str">
        <x:v>CRC</x:v>
      </x:c>
      <x:c r="D905" s="71" t="str">
        <x:v>Basic／月</x:v>
      </x:c>
      <x:c r="E905" s="72" t="n">
        <x:v>4599</x:v>
      </x:c>
      <x:c r="F905" s="71" t="str">
        <x:v>₡4 599</x:v>
      </x:c>
      <x:c r="G905" s="71" t="str">
        <x:v>es-CR</x:v>
      </x:c>
    </x:row>
    <x:row r="906" ht="27" customHeight="1">
      <x:c r="A906" s="71" t="str">
        <x:v>哥斯达黎加</x:v>
      </x:c>
      <x:c r="B906" s="71" t="str">
        <x:v>第3组</x:v>
      </x:c>
      <x:c r="C906" s="71" t="str">
        <x:v>CRC</x:v>
      </x:c>
      <x:c r="D906" s="71" t="str">
        <x:v>Plus／月</x:v>
      </x:c>
      <x:c r="E906" s="72" t="n">
        <x:v>9099</x:v>
      </x:c>
      <x:c r="F906" s="71" t="str">
        <x:v>₡9 099</x:v>
      </x:c>
      <x:c r="G906" s="71" t="str">
        <x:v>es-CR</x:v>
      </x:c>
    </x:row>
    <x:row r="907" ht="27" customHeight="1">
      <x:c r="A907" s="71" t="str">
        <x:v>哥斯达黎加</x:v>
      </x:c>
      <x:c r="B907" s="71" t="str">
        <x:v>第3组</x:v>
      </x:c>
      <x:c r="C907" s="71" t="str">
        <x:v>CRC</x:v>
      </x:c>
      <x:c r="D907" s="71" t="str">
        <x:v>新Pro／月</x:v>
      </x:c>
      <x:c r="E907" s="72" t="n">
        <x:v>6799</x:v>
      </x:c>
      <x:c r="F907" s="71" t="str">
        <x:v>₡6 799</x:v>
      </x:c>
      <x:c r="G907" s="71" t="str">
        <x:v>es-CR</x:v>
      </x:c>
    </x:row>
    <x:row r="908" ht="27" customHeight="1">
      <x:c r="A908" s="71" t="str">
        <x:v>哥斯达黎加</x:v>
      </x:c>
      <x:c r="B908" s="71" t="str">
        <x:v>第3组</x:v>
      </x:c>
      <x:c r="C908" s="71" t="str">
        <x:v>CRC</x:v>
      </x:c>
      <x:c r="D908" s="71" t="str">
        <x:v>Basic／年</x:v>
      </x:c>
      <x:c r="E908" s="72" t="n">
        <x:v>21900</x:v>
      </x:c>
      <x:c r="F908" s="71" t="str">
        <x:v>₡21 900</x:v>
      </x:c>
      <x:c r="G908" s="71" t="str">
        <x:v>es-CR</x:v>
      </x:c>
    </x:row>
    <x:row r="909" ht="27" customHeight="1">
      <x:c r="A909" s="71" t="str">
        <x:v>哥斯达黎加</x:v>
      </x:c>
      <x:c r="B909" s="71" t="str">
        <x:v>第3组</x:v>
      </x:c>
      <x:c r="C909" s="71" t="str">
        <x:v>CRC</x:v>
      </x:c>
      <x:c r="D909" s="71" t="str">
        <x:v>Plus／年</x:v>
      </x:c>
      <x:c r="E909" s="72" t="n">
        <x:v>43900</x:v>
      </x:c>
      <x:c r="F909" s="71" t="str">
        <x:v>₡43 900</x:v>
      </x:c>
      <x:c r="G909" s="71" t="str">
        <x:v>es-CR</x:v>
      </x:c>
    </x:row>
    <x:row r="910" ht="27" customHeight="1">
      <x:c r="A910" s="71" t="str">
        <x:v>哥斯达黎加</x:v>
      </x:c>
      <x:c r="B910" s="71" t="str">
        <x:v>第3组</x:v>
      </x:c>
      <x:c r="C910" s="71" t="str">
        <x:v>CRC</x:v>
      </x:c>
      <x:c r="D910" s="71" t="str">
        <x:v>新Pro／年</x:v>
      </x:c>
      <x:c r="E910" s="72" t="n">
        <x:v>81588</x:v>
      </x:c>
      <x:c r="F910" s="71" t="str">
        <x:v>₡81 588</x:v>
      </x:c>
      <x:c r="G910" s="71" t="str">
        <x:v>es-CR</x:v>
      </x:c>
    </x:row>
    <x:row r="911" ht="27" customHeight="1">
      <x:c r="A911" s="71" t="str">
        <x:v>哥斯达黎加</x:v>
      </x:c>
      <x:c r="B911" s="71" t="str">
        <x:v>第3组</x:v>
      </x:c>
      <x:c r="C911" s="71" t="str">
        <x:v>CRC</x:v>
      </x:c>
      <x:c r="D911" s="71" t="str">
        <x:v>作业包／3份</x:v>
      </x:c>
      <x:c r="E911" s="72" t="n">
        <x:v>2299</x:v>
      </x:c>
      <x:c r="F911" s="71" t="str">
        <x:v>₡2 299</x:v>
      </x:c>
      <x:c r="G911" s="71" t="str">
        <x:v>es-CR</x:v>
      </x:c>
    </x:row>
    <x:row r="912" ht="27" customHeight="1">
      <x:c r="A912" s="71" t="str">
        <x:v>哥斯达黎加</x:v>
      </x:c>
      <x:c r="B912" s="71" t="str">
        <x:v>第3组</x:v>
      </x:c>
      <x:c r="C912" s="71" t="str">
        <x:v>CRC</x:v>
      </x:c>
      <x:c r="D912" s="71" t="str">
        <x:v>检测包／5份</x:v>
      </x:c>
      <x:c r="E912" s="72" t="n">
        <x:v>1099</x:v>
      </x:c>
      <x:c r="F912" s="71" t="str">
        <x:v>₡1 099</x:v>
      </x:c>
      <x:c r="G912" s="71" t="str">
        <x:v>es-CR</x:v>
      </x:c>
    </x:row>
    <x:row r="913" ht="27" customHeight="1">
      <x:c r="A913" s="71" t="str">
        <x:v>哥斯达黎加</x:v>
      </x:c>
      <x:c r="B913" s="71" t="str">
        <x:v>第3组</x:v>
      </x:c>
      <x:c r="C913" s="71" t="str">
        <x:v>CRC</x:v>
      </x:c>
      <x:c r="D913" s="71" t="str">
        <x:v>Humanizer包／3份</x:v>
      </x:c>
      <x:c r="E913" s="72" t="n">
        <x:v>1599</x:v>
      </x:c>
      <x:c r="F913" s="71" t="str">
        <x:v>₡1 599</x:v>
      </x:c>
      <x:c r="G913" s="71" t="str">
        <x:v>es-CR</x:v>
      </x:c>
    </x:row>
    <x:row r="914" ht="27" customHeight="1">
      <x:c r="A914" s="71" t="str">
        <x:v>哥斯达黎加</x:v>
      </x:c>
      <x:c r="B914" s="71" t="str">
        <x:v>第3组</x:v>
      </x:c>
      <x:c r="C914" s="71" t="str">
        <x:v>CRC</x:v>
      </x:c>
      <x:c r="D914" s="71" t="str">
        <x:v>Study Pass／月</x:v>
      </x:c>
      <x:c r="E914" s="72" t="n">
        <x:v>280</x:v>
      </x:c>
      <x:c r="F914" s="71" t="str">
        <x:v>₡280</x:v>
      </x:c>
      <x:c r="G914" s="71" t="str">
        <x:v>es-CR</x:v>
      </x:c>
    </x:row>
    <x:row r="915" ht="27" customHeight="1">
      <x:c r="A915" s="71" t="str">
        <x:v>克罗地亚</x:v>
      </x:c>
      <x:c r="B915" s="71" t="str">
        <x:v>第3组</x:v>
      </x:c>
      <x:c r="C915" s="71" t="str">
        <x:v>EUR</x:v>
      </x:c>
      <x:c r="D915" s="71" t="str">
        <x:v>Trial／7天</x:v>
      </x:c>
      <x:c r="E915" s="73" t="n">
        <x:v>1.29</x:v>
      </x:c>
      <x:c r="F915" s="71" t="str">
        <x:v>1,29 €</x:v>
      </x:c>
      <x:c r="G915" s="71" t="str">
        <x:v>hr-HR</x:v>
      </x:c>
    </x:row>
    <x:row r="916" ht="27" customHeight="1">
      <x:c r="A916" s="71" t="str">
        <x:v>克罗地亚</x:v>
      </x:c>
      <x:c r="B916" s="71" t="str">
        <x:v>第3组</x:v>
      </x:c>
      <x:c r="C916" s="71" t="str">
        <x:v>EUR</x:v>
      </x:c>
      <x:c r="D916" s="71" t="str">
        <x:v>Basic／月</x:v>
      </x:c>
      <x:c r="E916" s="73" t="n">
        <x:v>8.99</x:v>
      </x:c>
      <x:c r="F916" s="71" t="str">
        <x:v>8,99 €</x:v>
      </x:c>
      <x:c r="G916" s="71" t="str">
        <x:v>hr-HR</x:v>
      </x:c>
    </x:row>
    <x:row r="917" ht="27" customHeight="1">
      <x:c r="A917" s="71" t="str">
        <x:v>克罗地亚</x:v>
      </x:c>
      <x:c r="B917" s="71" t="str">
        <x:v>第3组</x:v>
      </x:c>
      <x:c r="C917" s="71" t="str">
        <x:v>EUR</x:v>
      </x:c>
      <x:c r="D917" s="71" t="str">
        <x:v>Plus／月</x:v>
      </x:c>
      <x:c r="E917" s="73" t="n">
        <x:v>17.99</x:v>
      </x:c>
      <x:c r="F917" s="71" t="str">
        <x:v>17,99 €</x:v>
      </x:c>
      <x:c r="G917" s="71" t="str">
        <x:v>hr-HR</x:v>
      </x:c>
    </x:row>
    <x:row r="918" ht="27" customHeight="1">
      <x:c r="A918" s="71" t="str">
        <x:v>克罗地亚</x:v>
      </x:c>
      <x:c r="B918" s="71" t="str">
        <x:v>第3组</x:v>
      </x:c>
      <x:c r="C918" s="71" t="str">
        <x:v>EUR</x:v>
      </x:c>
      <x:c r="D918" s="71" t="str">
        <x:v>新Pro／月</x:v>
      </x:c>
      <x:c r="E918" s="73" t="n">
        <x:v>12.99</x:v>
      </x:c>
      <x:c r="F918" s="71" t="str">
        <x:v>12,99 €</x:v>
      </x:c>
      <x:c r="G918" s="71" t="str">
        <x:v>hr-HR</x:v>
      </x:c>
    </x:row>
    <x:row r="919" ht="27" customHeight="1">
      <x:c r="A919" s="71" t="str">
        <x:v>克罗地亚</x:v>
      </x:c>
      <x:c r="B919" s="71" t="str">
        <x:v>第3组</x:v>
      </x:c>
      <x:c r="C919" s="71" t="str">
        <x:v>EUR</x:v>
      </x:c>
      <x:c r="D919" s="71" t="str">
        <x:v>Basic／年</x:v>
      </x:c>
      <x:c r="E919" s="73" t="n">
        <x:v>42.99</x:v>
      </x:c>
      <x:c r="F919" s="71" t="str">
        <x:v>42,99 €</x:v>
      </x:c>
      <x:c r="G919" s="71" t="str">
        <x:v>hr-HR</x:v>
      </x:c>
    </x:row>
    <x:row r="920" ht="27" customHeight="1">
      <x:c r="A920" s="71" t="str">
        <x:v>克罗地亚</x:v>
      </x:c>
      <x:c r="B920" s="71" t="str">
        <x:v>第3组</x:v>
      </x:c>
      <x:c r="C920" s="71" t="str">
        <x:v>EUR</x:v>
      </x:c>
      <x:c r="D920" s="71" t="str">
        <x:v>Plus／年</x:v>
      </x:c>
      <x:c r="E920" s="73" t="n">
        <x:v>84.99</x:v>
      </x:c>
      <x:c r="F920" s="71" t="str">
        <x:v>84,99 €</x:v>
      </x:c>
      <x:c r="G920" s="71" t="str">
        <x:v>hr-HR</x:v>
      </x:c>
    </x:row>
    <x:row r="921" ht="27" customHeight="1">
      <x:c r="A921" s="71" t="str">
        <x:v>克罗地亚</x:v>
      </x:c>
      <x:c r="B921" s="71" t="str">
        <x:v>第3组</x:v>
      </x:c>
      <x:c r="C921" s="71" t="str">
        <x:v>EUR</x:v>
      </x:c>
      <x:c r="D921" s="71" t="str">
        <x:v>新Pro／年</x:v>
      </x:c>
      <x:c r="E921" s="73" t="n">
        <x:v>155.88</x:v>
      </x:c>
      <x:c r="F921" s="71" t="str">
        <x:v>155,88 €</x:v>
      </x:c>
      <x:c r="G921" s="71" t="str">
        <x:v>hr-HR</x:v>
      </x:c>
    </x:row>
    <x:row r="922" ht="27" customHeight="1">
      <x:c r="A922" s="71" t="str">
        <x:v>克罗地亚</x:v>
      </x:c>
      <x:c r="B922" s="71" t="str">
        <x:v>第3组</x:v>
      </x:c>
      <x:c r="C922" s="71" t="str">
        <x:v>EUR</x:v>
      </x:c>
      <x:c r="D922" s="71" t="str">
        <x:v>作业包／3份</x:v>
      </x:c>
      <x:c r="E922" s="73" t="n">
        <x:v>4.49</x:v>
      </x:c>
      <x:c r="F922" s="71" t="str">
        <x:v>4,49 €</x:v>
      </x:c>
      <x:c r="G922" s="71" t="str">
        <x:v>hr-HR</x:v>
      </x:c>
    </x:row>
    <x:row r="923" ht="27" customHeight="1">
      <x:c r="A923" s="71" t="str">
        <x:v>克罗地亚</x:v>
      </x:c>
      <x:c r="B923" s="71" t="str">
        <x:v>第3组</x:v>
      </x:c>
      <x:c r="C923" s="71" t="str">
        <x:v>EUR</x:v>
      </x:c>
      <x:c r="D923" s="71" t="str">
        <x:v>检测包／5份</x:v>
      </x:c>
      <x:c r="E923" s="73" t="n">
        <x:v>2.19</x:v>
      </x:c>
      <x:c r="F923" s="71" t="str">
        <x:v>2,19 €</x:v>
      </x:c>
      <x:c r="G923" s="71" t="str">
        <x:v>hr-HR</x:v>
      </x:c>
    </x:row>
    <x:row r="924" ht="27" customHeight="1">
      <x:c r="A924" s="71" t="str">
        <x:v>克罗地亚</x:v>
      </x:c>
      <x:c r="B924" s="71" t="str">
        <x:v>第3组</x:v>
      </x:c>
      <x:c r="C924" s="71" t="str">
        <x:v>EUR</x:v>
      </x:c>
      <x:c r="D924" s="71" t="str">
        <x:v>Humanizer包／3份</x:v>
      </x:c>
      <x:c r="E924" s="73" t="n">
        <x:v>2.99</x:v>
      </x:c>
      <x:c r="F924" s="71" t="str">
        <x:v>2,99 €</x:v>
      </x:c>
      <x:c r="G924" s="71" t="str">
        <x:v>hr-HR</x:v>
      </x:c>
    </x:row>
    <x:row r="925" ht="27" customHeight="1">
      <x:c r="A925" s="71" t="str">
        <x:v>克罗地亚</x:v>
      </x:c>
      <x:c r="B925" s="71" t="str">
        <x:v>第3组</x:v>
      </x:c>
      <x:c r="C925" s="71" t="str">
        <x:v>EUR</x:v>
      </x:c>
      <x:c r="D925" s="71" t="str">
        <x:v>Study Pass／月</x:v>
      </x:c>
      <x:c r="E925" s="73" t="n">
        <x:v>0.53</x:v>
      </x:c>
      <x:c r="F925" s="71" t="str">
        <x:v>0,53 €</x:v>
      </x:c>
      <x:c r="G925" s="71" t="str">
        <x:v>hr-HR</x:v>
      </x:c>
    </x:row>
    <x:row r="926" ht="27" customHeight="1">
      <x:c r="A926" s="71" t="str">
        <x:v>萨尔瓦多</x:v>
      </x:c>
      <x:c r="B926" s="71" t="str">
        <x:v>第3组</x:v>
      </x:c>
      <x:c r="C926" s="71" t="str">
        <x:v>USD</x:v>
      </x:c>
      <x:c r="D926" s="71" t="str">
        <x:v>Trial／7天</x:v>
      </x:c>
      <x:c r="E926" s="73" t="n">
        <x:v>0.99</x:v>
      </x:c>
      <x:c r="F926" s="71" t="str">
        <x:v>US$0.99</x:v>
      </x:c>
      <x:c r="G926" s="71" t="str">
        <x:v>es-SV</x:v>
      </x:c>
    </x:row>
    <x:row r="927" ht="27" customHeight="1">
      <x:c r="A927" s="71" t="str">
        <x:v>萨尔瓦多</x:v>
      </x:c>
      <x:c r="B927" s="71" t="str">
        <x:v>第3组</x:v>
      </x:c>
      <x:c r="C927" s="71" t="str">
        <x:v>USD</x:v>
      </x:c>
      <x:c r="D927" s="71" t="str">
        <x:v>Basic／月</x:v>
      </x:c>
      <x:c r="E927" s="73" t="n">
        <x:v>6.99</x:v>
      </x:c>
      <x:c r="F927" s="71" t="str">
        <x:v>US$6.99</x:v>
      </x:c>
      <x:c r="G927" s="71" t="str">
        <x:v>es-SV</x:v>
      </x:c>
    </x:row>
    <x:row r="928" ht="27" customHeight="1">
      <x:c r="A928" s="71" t="str">
        <x:v>萨尔瓦多</x:v>
      </x:c>
      <x:c r="B928" s="71" t="str">
        <x:v>第3组</x:v>
      </x:c>
      <x:c r="C928" s="71" t="str">
        <x:v>USD</x:v>
      </x:c>
      <x:c r="D928" s="71" t="str">
        <x:v>Plus／月</x:v>
      </x:c>
      <x:c r="E928" s="73" t="n">
        <x:v>13.99</x:v>
      </x:c>
      <x:c r="F928" s="71" t="str">
        <x:v>US$13.99</x:v>
      </x:c>
      <x:c r="G928" s="71" t="str">
        <x:v>es-SV</x:v>
      </x:c>
    </x:row>
    <x:row r="929" ht="27" customHeight="1">
      <x:c r="A929" s="71" t="str">
        <x:v>萨尔瓦多</x:v>
      </x:c>
      <x:c r="B929" s="71" t="str">
        <x:v>第3组</x:v>
      </x:c>
      <x:c r="C929" s="71" t="str">
        <x:v>USD</x:v>
      </x:c>
      <x:c r="D929" s="71" t="str">
        <x:v>新Pro／月</x:v>
      </x:c>
      <x:c r="E929" s="73" t="n">
        <x:v>10.99</x:v>
      </x:c>
      <x:c r="F929" s="71" t="str">
        <x:v>US$10.99</x:v>
      </x:c>
      <x:c r="G929" s="71" t="str">
        <x:v>es-SV</x:v>
      </x:c>
    </x:row>
    <x:row r="930" ht="27" customHeight="1">
      <x:c r="A930" s="71" t="str">
        <x:v>萨尔瓦多</x:v>
      </x:c>
      <x:c r="B930" s="71" t="str">
        <x:v>第3组</x:v>
      </x:c>
      <x:c r="C930" s="71" t="str">
        <x:v>USD</x:v>
      </x:c>
      <x:c r="D930" s="71" t="str">
        <x:v>Basic／年</x:v>
      </x:c>
      <x:c r="E930" s="73" t="n">
        <x:v>33.99</x:v>
      </x:c>
      <x:c r="F930" s="71" t="str">
        <x:v>US$33.99</x:v>
      </x:c>
      <x:c r="G930" s="71" t="str">
        <x:v>es-SV</x:v>
      </x:c>
    </x:row>
    <x:row r="931" ht="27" customHeight="1">
      <x:c r="A931" s="71" t="str">
        <x:v>萨尔瓦多</x:v>
      </x:c>
      <x:c r="B931" s="71" t="str">
        <x:v>第3组</x:v>
      </x:c>
      <x:c r="C931" s="71" t="str">
        <x:v>USD</x:v>
      </x:c>
      <x:c r="D931" s="71" t="str">
        <x:v>Plus／年</x:v>
      </x:c>
      <x:c r="E931" s="73" t="n">
        <x:v>66.99</x:v>
      </x:c>
      <x:c r="F931" s="71" t="str">
        <x:v>US$66.99</x:v>
      </x:c>
      <x:c r="G931" s="71" t="str">
        <x:v>es-SV</x:v>
      </x:c>
    </x:row>
    <x:row r="932" ht="27" customHeight="1">
      <x:c r="A932" s="71" t="str">
        <x:v>萨尔瓦多</x:v>
      </x:c>
      <x:c r="B932" s="71" t="str">
        <x:v>第3组</x:v>
      </x:c>
      <x:c r="C932" s="71" t="str">
        <x:v>USD</x:v>
      </x:c>
      <x:c r="D932" s="71" t="str">
        <x:v>新Pro／年</x:v>
      </x:c>
      <x:c r="E932" s="73" t="n">
        <x:v>131.88</x:v>
      </x:c>
      <x:c r="F932" s="71" t="str">
        <x:v>US$131.88</x:v>
      </x:c>
      <x:c r="G932" s="71" t="str">
        <x:v>es-SV</x:v>
      </x:c>
    </x:row>
    <x:row r="933" ht="27" customHeight="1">
      <x:c r="A933" s="71" t="str">
        <x:v>萨尔瓦多</x:v>
      </x:c>
      <x:c r="B933" s="71" t="str">
        <x:v>第3组</x:v>
      </x:c>
      <x:c r="C933" s="71" t="str">
        <x:v>USD</x:v>
      </x:c>
      <x:c r="D933" s="71" t="str">
        <x:v>作业包／3份</x:v>
      </x:c>
      <x:c r="E933" s="73" t="n">
        <x:v>3.49</x:v>
      </x:c>
      <x:c r="F933" s="71" t="str">
        <x:v>US$3.49</x:v>
      </x:c>
      <x:c r="G933" s="71" t="str">
        <x:v>es-SV</x:v>
      </x:c>
    </x:row>
    <x:row r="934" ht="27" customHeight="1">
      <x:c r="A934" s="71" t="str">
        <x:v>萨尔瓦多</x:v>
      </x:c>
      <x:c r="B934" s="71" t="str">
        <x:v>第3组</x:v>
      </x:c>
      <x:c r="C934" s="71" t="str">
        <x:v>USD</x:v>
      </x:c>
      <x:c r="D934" s="71" t="str">
        <x:v>检测包／5份</x:v>
      </x:c>
      <x:c r="E934" s="73" t="n">
        <x:v>1.79</x:v>
      </x:c>
      <x:c r="F934" s="71" t="str">
        <x:v>US$1.79</x:v>
      </x:c>
      <x:c r="G934" s="71" t="str">
        <x:v>es-SV</x:v>
      </x:c>
    </x:row>
    <x:row r="935" ht="27" customHeight="1">
      <x:c r="A935" s="71" t="str">
        <x:v>萨尔瓦多</x:v>
      </x:c>
      <x:c r="B935" s="71" t="str">
        <x:v>第3组</x:v>
      </x:c>
      <x:c r="C935" s="71" t="str">
        <x:v>USD</x:v>
      </x:c>
      <x:c r="D935" s="71" t="str">
        <x:v>Humanizer包／3份</x:v>
      </x:c>
      <x:c r="E935" s="73" t="n">
        <x:v>2.49</x:v>
      </x:c>
      <x:c r="F935" s="71" t="str">
        <x:v>US$2.49</x:v>
      </x:c>
      <x:c r="G935" s="71" t="str">
        <x:v>es-SV</x:v>
      </x:c>
    </x:row>
    <x:row r="936" ht="27" customHeight="1">
      <x:c r="A936" s="71" t="str">
        <x:v>萨尔瓦多</x:v>
      </x:c>
      <x:c r="B936" s="71" t="str">
        <x:v>第3组</x:v>
      </x:c>
      <x:c r="C936" s="71" t="str">
        <x:v>USD</x:v>
      </x:c>
      <x:c r="D936" s="71" t="str">
        <x:v>Study Pass／月</x:v>
      </x:c>
      <x:c r="E936" s="73" t="n">
        <x:v>0.6</x:v>
      </x:c>
      <x:c r="F936" s="71" t="str">
        <x:v>US$0.60</x:v>
      </x:c>
      <x:c r="G936" s="71" t="str">
        <x:v>es-SV</x:v>
      </x:c>
    </x:row>
    <x:row r="937" ht="27" customHeight="1">
      <x:c r="A937" s="71" t="str">
        <x:v>芬兰</x:v>
      </x:c>
      <x:c r="B937" s="71" t="str">
        <x:v>第3组</x:v>
      </x:c>
      <x:c r="C937" s="71" t="str">
        <x:v>EUR</x:v>
      </x:c>
      <x:c r="D937" s="71" t="str">
        <x:v>Trial／7天</x:v>
      </x:c>
      <x:c r="E937" s="73" t="n">
        <x:v>1.99</x:v>
      </x:c>
      <x:c r="F937" s="71" t="str">
        <x:v>1,99 €</x:v>
      </x:c>
      <x:c r="G937" s="71" t="str">
        <x:v>fi-FI</x:v>
      </x:c>
    </x:row>
    <x:row r="938" ht="27" customHeight="1">
      <x:c r="A938" s="71" t="str">
        <x:v>芬兰</x:v>
      </x:c>
      <x:c r="B938" s="71" t="str">
        <x:v>第3组</x:v>
      </x:c>
      <x:c r="C938" s="71" t="str">
        <x:v>EUR</x:v>
      </x:c>
      <x:c r="D938" s="71" t="str">
        <x:v>Basic／月</x:v>
      </x:c>
      <x:c r="E938" s="73" t="n">
        <x:v>13.99</x:v>
      </x:c>
      <x:c r="F938" s="71" t="str">
        <x:v>13,99 €</x:v>
      </x:c>
      <x:c r="G938" s="71" t="str">
        <x:v>fi-FI</x:v>
      </x:c>
    </x:row>
    <x:row r="939" ht="27" customHeight="1">
      <x:c r="A939" s="71" t="str">
        <x:v>芬兰</x:v>
      </x:c>
      <x:c r="B939" s="71" t="str">
        <x:v>第3组</x:v>
      </x:c>
      <x:c r="C939" s="71" t="str">
        <x:v>EUR</x:v>
      </x:c>
      <x:c r="D939" s="71" t="str">
        <x:v>Plus／月</x:v>
      </x:c>
      <x:c r="E939" s="73" t="n">
        <x:v>27.99</x:v>
      </x:c>
      <x:c r="F939" s="71" t="str">
        <x:v>27,99 €</x:v>
      </x:c>
      <x:c r="G939" s="71" t="str">
        <x:v>fi-FI</x:v>
      </x:c>
    </x:row>
    <x:row r="940" ht="27" customHeight="1">
      <x:c r="A940" s="71" t="str">
        <x:v>芬兰</x:v>
      </x:c>
      <x:c r="B940" s="71" t="str">
        <x:v>第3组</x:v>
      </x:c>
      <x:c r="C940" s="71" t="str">
        <x:v>EUR</x:v>
      </x:c>
      <x:c r="D940" s="71" t="str">
        <x:v>新Pro／月</x:v>
      </x:c>
      <x:c r="E940" s="73" t="n">
        <x:v>20.99</x:v>
      </x:c>
      <x:c r="F940" s="71" t="str">
        <x:v>20,99 €</x:v>
      </x:c>
      <x:c r="G940" s="71" t="str">
        <x:v>fi-FI</x:v>
      </x:c>
    </x:row>
    <x:row r="941" ht="27" customHeight="1">
      <x:c r="A941" s="71" t="str">
        <x:v>芬兰</x:v>
      </x:c>
      <x:c r="B941" s="71" t="str">
        <x:v>第3组</x:v>
      </x:c>
      <x:c r="C941" s="71" t="str">
        <x:v>EUR</x:v>
      </x:c>
      <x:c r="D941" s="71" t="str">
        <x:v>Basic／年</x:v>
      </x:c>
      <x:c r="E941" s="73" t="n">
        <x:v>67.99</x:v>
      </x:c>
      <x:c r="F941" s="71" t="str">
        <x:v>67,99 €</x:v>
      </x:c>
      <x:c r="G941" s="71" t="str">
        <x:v>fi-FI</x:v>
      </x:c>
    </x:row>
    <x:row r="942" ht="27" customHeight="1">
      <x:c r="A942" s="71" t="str">
        <x:v>芬兰</x:v>
      </x:c>
      <x:c r="B942" s="71" t="str">
        <x:v>第3组</x:v>
      </x:c>
      <x:c r="C942" s="71" t="str">
        <x:v>EUR</x:v>
      </x:c>
      <x:c r="D942" s="71" t="str">
        <x:v>Plus／年</x:v>
      </x:c>
      <x:c r="E942" s="73" t="n">
        <x:v>136.99</x:v>
      </x:c>
      <x:c r="F942" s="71" t="str">
        <x:v>136,99 €</x:v>
      </x:c>
      <x:c r="G942" s="71" t="str">
        <x:v>fi-FI</x:v>
      </x:c>
    </x:row>
    <x:row r="943" ht="27" customHeight="1">
      <x:c r="A943" s="71" t="str">
        <x:v>芬兰</x:v>
      </x:c>
      <x:c r="B943" s="71" t="str">
        <x:v>第3组</x:v>
      </x:c>
      <x:c r="C943" s="71" t="str">
        <x:v>EUR</x:v>
      </x:c>
      <x:c r="D943" s="71" t="str">
        <x:v>新Pro／年</x:v>
      </x:c>
      <x:c r="E943" s="73" t="n">
        <x:v>251.88</x:v>
      </x:c>
      <x:c r="F943" s="71" t="str">
        <x:v>251,88 €</x:v>
      </x:c>
      <x:c r="G943" s="71" t="str">
        <x:v>fi-FI</x:v>
      </x:c>
    </x:row>
    <x:row r="944" ht="27" customHeight="1">
      <x:c r="A944" s="71" t="str">
        <x:v>芬兰</x:v>
      </x:c>
      <x:c r="B944" s="71" t="str">
        <x:v>第3组</x:v>
      </x:c>
      <x:c r="C944" s="71" t="str">
        <x:v>EUR</x:v>
      </x:c>
      <x:c r="D944" s="71" t="str">
        <x:v>作业包／3份</x:v>
      </x:c>
      <x:c r="E944" s="73" t="n">
        <x:v>6.99</x:v>
      </x:c>
      <x:c r="F944" s="71" t="str">
        <x:v>6,99 €</x:v>
      </x:c>
      <x:c r="G944" s="71" t="str">
        <x:v>fi-FI</x:v>
      </x:c>
    </x:row>
    <x:row r="945" ht="27" customHeight="1">
      <x:c r="A945" s="71" t="str">
        <x:v>芬兰</x:v>
      </x:c>
      <x:c r="B945" s="71" t="str">
        <x:v>第3组</x:v>
      </x:c>
      <x:c r="C945" s="71" t="str">
        <x:v>EUR</x:v>
      </x:c>
      <x:c r="D945" s="71" t="str">
        <x:v>检测包／5份</x:v>
      </x:c>
      <x:c r="E945" s="73" t="n">
        <x:v>3.49</x:v>
      </x:c>
      <x:c r="F945" s="71" t="str">
        <x:v>3,49 €</x:v>
      </x:c>
      <x:c r="G945" s="71" t="str">
        <x:v>fi-FI</x:v>
      </x:c>
    </x:row>
    <x:row r="946" ht="27" customHeight="1">
      <x:c r="A946" s="71" t="str">
        <x:v>芬兰</x:v>
      </x:c>
      <x:c r="B946" s="71" t="str">
        <x:v>第3组</x:v>
      </x:c>
      <x:c r="C946" s="71" t="str">
        <x:v>EUR</x:v>
      </x:c>
      <x:c r="D946" s="71" t="str">
        <x:v>Humanizer包／3份</x:v>
      </x:c>
      <x:c r="E946" s="73" t="n">
        <x:v>4.99</x:v>
      </x:c>
      <x:c r="F946" s="71" t="str">
        <x:v>4,99 €</x:v>
      </x:c>
      <x:c r="G946" s="71" t="str">
        <x:v>fi-FI</x:v>
      </x:c>
    </x:row>
    <x:row r="947" ht="27" customHeight="1">
      <x:c r="A947" s="71" t="str">
        <x:v>芬兰</x:v>
      </x:c>
      <x:c r="B947" s="71" t="str">
        <x:v>第3组</x:v>
      </x:c>
      <x:c r="C947" s="71" t="str">
        <x:v>EUR</x:v>
      </x:c>
      <x:c r="D947" s="71" t="str">
        <x:v>Study Pass／月</x:v>
      </x:c>
      <x:c r="E947" s="73" t="n">
        <x:v>0.7</x:v>
      </x:c>
      <x:c r="F947" s="71" t="str">
        <x:v>0,70 €</x:v>
      </x:c>
      <x:c r="G947" s="71" t="str">
        <x:v>fi-FI</x:v>
      </x:c>
    </x:row>
    <x:row r="948" ht="27" customHeight="1">
      <x:c r="A948" s="71" t="str">
        <x:v>加蓬</x:v>
      </x:c>
      <x:c r="B948" s="71" t="str">
        <x:v>第3组</x:v>
      </x:c>
      <x:c r="C948" s="71" t="str">
        <x:v>XAF</x:v>
      </x:c>
      <x:c r="D948" s="71" t="str">
        <x:v>Trial／7天</x:v>
      </x:c>
      <x:c r="E948" s="72" t="n">
        <x:v>609</x:v>
      </x:c>
      <x:c r="F948" s="71" t="str">
        <x:v>609 FCFA</x:v>
      </x:c>
      <x:c r="G948" s="71" t="str">
        <x:v>fr-GA</x:v>
      </x:c>
    </x:row>
    <x:row r="949" ht="27" customHeight="1">
      <x:c r="A949" s="71" t="str">
        <x:v>加蓬</x:v>
      </x:c>
      <x:c r="B949" s="71" t="str">
        <x:v>第3组</x:v>
      </x:c>
      <x:c r="C949" s="71" t="str">
        <x:v>XAF</x:v>
      </x:c>
      <x:c r="D949" s="71" t="str">
        <x:v>Basic／月</x:v>
      </x:c>
      <x:c r="E949" s="72" t="n">
        <x:v>4099</x:v>
      </x:c>
      <x:c r="F949" s="71" t="str">
        <x:v>4 099 FCFA</x:v>
      </x:c>
      <x:c r="G949" s="71" t="str">
        <x:v>fr-GA</x:v>
      </x:c>
    </x:row>
    <x:row r="950" ht="27" customHeight="1">
      <x:c r="A950" s="71" t="str">
        <x:v>加蓬</x:v>
      </x:c>
      <x:c r="B950" s="71" t="str">
        <x:v>第3组</x:v>
      </x:c>
      <x:c r="C950" s="71" t="str">
        <x:v>XAF</x:v>
      </x:c>
      <x:c r="D950" s="71" t="str">
        <x:v>Plus／月</x:v>
      </x:c>
      <x:c r="E950" s="72" t="n">
        <x:v>8199</x:v>
      </x:c>
      <x:c r="F950" s="71" t="str">
        <x:v>8 199 FCFA</x:v>
      </x:c>
      <x:c r="G950" s="71" t="str">
        <x:v>fr-GA</x:v>
      </x:c>
    </x:row>
    <x:row r="951" ht="27" customHeight="1">
      <x:c r="A951" s="71" t="str">
        <x:v>加蓬</x:v>
      </x:c>
      <x:c r="B951" s="71" t="str">
        <x:v>第3组</x:v>
      </x:c>
      <x:c r="C951" s="71" t="str">
        <x:v>XAF</x:v>
      </x:c>
      <x:c r="D951" s="71" t="str">
        <x:v>新Pro／月</x:v>
      </x:c>
      <x:c r="E951" s="72" t="n">
        <x:v>6099</x:v>
      </x:c>
      <x:c r="F951" s="71" t="str">
        <x:v>6 099 FCFA</x:v>
      </x:c>
      <x:c r="G951" s="71" t="str">
        <x:v>fr-GA</x:v>
      </x:c>
    </x:row>
    <x:row r="952" ht="27" customHeight="1">
      <x:c r="A952" s="71" t="str">
        <x:v>加蓬</x:v>
      </x:c>
      <x:c r="B952" s="71" t="str">
        <x:v>第3组</x:v>
      </x:c>
      <x:c r="C952" s="71" t="str">
        <x:v>XAF</x:v>
      </x:c>
      <x:c r="D952" s="71" t="str">
        <x:v>Basic／年</x:v>
      </x:c>
      <x:c r="E952" s="72" t="n">
        <x:v>19900</x:v>
      </x:c>
      <x:c r="F952" s="71" t="str">
        <x:v>19 900 FCFA</x:v>
      </x:c>
      <x:c r="G952" s="71" t="str">
        <x:v>fr-GA</x:v>
      </x:c>
    </x:row>
    <x:row r="953" ht="27" customHeight="1">
      <x:c r="A953" s="71" t="str">
        <x:v>加蓬</x:v>
      </x:c>
      <x:c r="B953" s="71" t="str">
        <x:v>第3组</x:v>
      </x:c>
      <x:c r="C953" s="71" t="str">
        <x:v>XAF</x:v>
      </x:c>
      <x:c r="D953" s="71" t="str">
        <x:v>Plus／年</x:v>
      </x:c>
      <x:c r="E953" s="72" t="n">
        <x:v>38900</x:v>
      </x:c>
      <x:c r="F953" s="71" t="str">
        <x:v>38 900 FCFA</x:v>
      </x:c>
      <x:c r="G953" s="71" t="str">
        <x:v>fr-GA</x:v>
      </x:c>
    </x:row>
    <x:row r="954" ht="27" customHeight="1">
      <x:c r="A954" s="71" t="str">
        <x:v>加蓬</x:v>
      </x:c>
      <x:c r="B954" s="71" t="str">
        <x:v>第3组</x:v>
      </x:c>
      <x:c r="C954" s="71" t="str">
        <x:v>XAF</x:v>
      </x:c>
      <x:c r="D954" s="71" t="str">
        <x:v>新Pro／年</x:v>
      </x:c>
      <x:c r="E954" s="72" t="n">
        <x:v>73188</x:v>
      </x:c>
      <x:c r="F954" s="71" t="str">
        <x:v>73 188 FCFA</x:v>
      </x:c>
      <x:c r="G954" s="71" t="str">
        <x:v>fr-GA</x:v>
      </x:c>
    </x:row>
    <x:row r="955" ht="27" customHeight="1">
      <x:c r="A955" s="71" t="str">
        <x:v>加蓬</x:v>
      </x:c>
      <x:c r="B955" s="71" t="str">
        <x:v>第3组</x:v>
      </x:c>
      <x:c r="C955" s="71" t="str">
        <x:v>XAF</x:v>
      </x:c>
      <x:c r="D955" s="71" t="str">
        <x:v>作业包／3份</x:v>
      </x:c>
      <x:c r="E955" s="72" t="n">
        <x:v>1999</x:v>
      </x:c>
      <x:c r="F955" s="71" t="str">
        <x:v>1 999 FCFA</x:v>
      </x:c>
      <x:c r="G955" s="71" t="str">
        <x:v>fr-GA</x:v>
      </x:c>
    </x:row>
    <x:row r="956" ht="27" customHeight="1">
      <x:c r="A956" s="71" t="str">
        <x:v>加蓬</x:v>
      </x:c>
      <x:c r="B956" s="71" t="str">
        <x:v>第3组</x:v>
      </x:c>
      <x:c r="C956" s="71" t="str">
        <x:v>XAF</x:v>
      </x:c>
      <x:c r="D956" s="71" t="str">
        <x:v>检测包／5份</x:v>
      </x:c>
      <x:c r="E956" s="72" t="n">
        <x:v>999</x:v>
      </x:c>
      <x:c r="F956" s="71" t="str">
        <x:v>999 FCFA</x:v>
      </x:c>
      <x:c r="G956" s="71" t="str">
        <x:v>fr-GA</x:v>
      </x:c>
    </x:row>
    <x:row r="957" ht="27" customHeight="1">
      <x:c r="A957" s="71" t="str">
        <x:v>加蓬</x:v>
      </x:c>
      <x:c r="B957" s="71" t="str">
        <x:v>第3组</x:v>
      </x:c>
      <x:c r="C957" s="71" t="str">
        <x:v>XAF</x:v>
      </x:c>
      <x:c r="D957" s="71" t="str">
        <x:v>Humanizer包／3份</x:v>
      </x:c>
      <x:c r="E957" s="72" t="n">
        <x:v>1399</x:v>
      </x:c>
      <x:c r="F957" s="71" t="str">
        <x:v>1 399 FCFA</x:v>
      </x:c>
      <x:c r="G957" s="71" t="str">
        <x:v>fr-GA</x:v>
      </x:c>
    </x:row>
    <x:row r="958" ht="27" customHeight="1">
      <x:c r="A958" s="71" t="str">
        <x:v>加蓬</x:v>
      </x:c>
      <x:c r="B958" s="71" t="str">
        <x:v>第3组</x:v>
      </x:c>
      <x:c r="C958" s="71" t="str">
        <x:v>XAF</x:v>
      </x:c>
      <x:c r="D958" s="71" t="str">
        <x:v>Study Pass／月</x:v>
      </x:c>
      <x:c r="E958" s="72" t="n">
        <x:v>350</x:v>
      </x:c>
      <x:c r="F958" s="71" t="str">
        <x:v>350 FCFA</x:v>
      </x:c>
      <x:c r="G958" s="71" t="str">
        <x:v>fr-GA</x:v>
      </x:c>
    </x:row>
    <x:row r="959" ht="27" customHeight="1">
      <x:c r="A959" s="71" t="str">
        <x:v>格鲁吉亚</x:v>
      </x:c>
      <x:c r="B959" s="71" t="str">
        <x:v>第3组</x:v>
      </x:c>
      <x:c r="C959" s="71" t="str">
        <x:v>GEL</x:v>
      </x:c>
      <x:c r="D959" s="71" t="str">
        <x:v>Trial／7天</x:v>
      </x:c>
      <x:c r="E959" s="73" t="n">
        <x:v>2.49</x:v>
      </x:c>
      <x:c r="F959" s="71" t="str">
        <x:v>2,49 ₾</x:v>
      </x:c>
      <x:c r="G959" s="71" t="str">
        <x:v>ka-GE</x:v>
      </x:c>
    </x:row>
    <x:row r="960" ht="27" customHeight="1">
      <x:c r="A960" s="71" t="str">
        <x:v>格鲁吉亚</x:v>
      </x:c>
      <x:c r="B960" s="71" t="str">
        <x:v>第3组</x:v>
      </x:c>
      <x:c r="C960" s="71" t="str">
        <x:v>GEL</x:v>
      </x:c>
      <x:c r="D960" s="71" t="str">
        <x:v>Basic／月</x:v>
      </x:c>
      <x:c r="E960" s="73" t="n">
        <x:v>17.99</x:v>
      </x:c>
      <x:c r="F960" s="71" t="str">
        <x:v>17,99 ₾</x:v>
      </x:c>
      <x:c r="G960" s="71" t="str">
        <x:v>ka-GE</x:v>
      </x:c>
    </x:row>
    <x:row r="961" ht="27" customHeight="1">
      <x:c r="A961" s="71" t="str">
        <x:v>格鲁吉亚</x:v>
      </x:c>
      <x:c r="B961" s="71" t="str">
        <x:v>第3组</x:v>
      </x:c>
      <x:c r="C961" s="71" t="str">
        <x:v>GEL</x:v>
      </x:c>
      <x:c r="D961" s="71" t="str">
        <x:v>Plus／月</x:v>
      </x:c>
      <x:c r="E961" s="73" t="n">
        <x:v>35.99</x:v>
      </x:c>
      <x:c r="F961" s="71" t="str">
        <x:v>35,99 ₾</x:v>
      </x:c>
      <x:c r="G961" s="71" t="str">
        <x:v>ka-GE</x:v>
      </x:c>
    </x:row>
    <x:row r="962" ht="27" customHeight="1">
      <x:c r="A962" s="71" t="str">
        <x:v>格鲁吉亚</x:v>
      </x:c>
      <x:c r="B962" s="71" t="str">
        <x:v>第3组</x:v>
      </x:c>
      <x:c r="C962" s="71" t="str">
        <x:v>GEL</x:v>
      </x:c>
      <x:c r="D962" s="71" t="str">
        <x:v>新Pro／月</x:v>
      </x:c>
      <x:c r="E962" s="73" t="n">
        <x:v>26.99</x:v>
      </x:c>
      <x:c r="F962" s="71" t="str">
        <x:v>26,99 ₾</x:v>
      </x:c>
      <x:c r="G962" s="71" t="str">
        <x:v>ka-GE</x:v>
      </x:c>
    </x:row>
    <x:row r="963" ht="27" customHeight="1">
      <x:c r="A963" s="71" t="str">
        <x:v>格鲁吉亚</x:v>
      </x:c>
      <x:c r="B963" s="71" t="str">
        <x:v>第3组</x:v>
      </x:c>
      <x:c r="C963" s="71" t="str">
        <x:v>GEL</x:v>
      </x:c>
      <x:c r="D963" s="71" t="str">
        <x:v>Basic／年</x:v>
      </x:c>
      <x:c r="E963" s="73" t="n">
        <x:v>86.99</x:v>
      </x:c>
      <x:c r="F963" s="71" t="str">
        <x:v>86,99 ₾</x:v>
      </x:c>
      <x:c r="G963" s="71" t="str">
        <x:v>ka-GE</x:v>
      </x:c>
    </x:row>
    <x:row r="964" ht="27" customHeight="1">
      <x:c r="A964" s="71" t="str">
        <x:v>格鲁吉亚</x:v>
      </x:c>
      <x:c r="B964" s="71" t="str">
        <x:v>第3组</x:v>
      </x:c>
      <x:c r="C964" s="71" t="str">
        <x:v>GEL</x:v>
      </x:c>
      <x:c r="D964" s="71" t="str">
        <x:v>Plus／年</x:v>
      </x:c>
      <x:c r="E964" s="73" t="n">
        <x:v>173.99</x:v>
      </x:c>
      <x:c r="F964" s="71" t="str">
        <x:v>173,99 ₾</x:v>
      </x:c>
      <x:c r="G964" s="71" t="str">
        <x:v>ka-GE</x:v>
      </x:c>
    </x:row>
    <x:row r="965" ht="27" customHeight="1">
      <x:c r="A965" s="71" t="str">
        <x:v>格鲁吉亚</x:v>
      </x:c>
      <x:c r="B965" s="71" t="str">
        <x:v>第3组</x:v>
      </x:c>
      <x:c r="C965" s="71" t="str">
        <x:v>GEL</x:v>
      </x:c>
      <x:c r="D965" s="71" t="str">
        <x:v>新Pro／年</x:v>
      </x:c>
      <x:c r="E965" s="73" t="n">
        <x:v>323.88</x:v>
      </x:c>
      <x:c r="F965" s="71" t="str">
        <x:v>323,88 ₾</x:v>
      </x:c>
      <x:c r="G965" s="71" t="str">
        <x:v>ka-GE</x:v>
      </x:c>
    </x:row>
    <x:row r="966" ht="27" customHeight="1">
      <x:c r="A966" s="71" t="str">
        <x:v>格鲁吉亚</x:v>
      </x:c>
      <x:c r="B966" s="71" t="str">
        <x:v>第3组</x:v>
      </x:c>
      <x:c r="C966" s="71" t="str">
        <x:v>GEL</x:v>
      </x:c>
      <x:c r="D966" s="71" t="str">
        <x:v>作业包／3份</x:v>
      </x:c>
      <x:c r="E966" s="73" t="n">
        <x:v>8.99</x:v>
      </x:c>
      <x:c r="F966" s="71" t="str">
        <x:v>8,99 ₾</x:v>
      </x:c>
      <x:c r="G966" s="71" t="str">
        <x:v>ka-GE</x:v>
      </x:c>
    </x:row>
    <x:row r="967" ht="27" customHeight="1">
      <x:c r="A967" s="71" t="str">
        <x:v>格鲁吉亚</x:v>
      </x:c>
      <x:c r="B967" s="71" t="str">
        <x:v>第3组</x:v>
      </x:c>
      <x:c r="C967" s="71" t="str">
        <x:v>GEL</x:v>
      </x:c>
      <x:c r="D967" s="71" t="str">
        <x:v>检测包／5份</x:v>
      </x:c>
      <x:c r="E967" s="73" t="n">
        <x:v>4.49</x:v>
      </x:c>
      <x:c r="F967" s="71" t="str">
        <x:v>4,49 ₾</x:v>
      </x:c>
      <x:c r="G967" s="71" t="str">
        <x:v>ka-GE</x:v>
      </x:c>
    </x:row>
    <x:row r="968" ht="27" customHeight="1">
      <x:c r="A968" s="71" t="str">
        <x:v>格鲁吉亚</x:v>
      </x:c>
      <x:c r="B968" s="71" t="str">
        <x:v>第3组</x:v>
      </x:c>
      <x:c r="C968" s="71" t="str">
        <x:v>GEL</x:v>
      </x:c>
      <x:c r="D968" s="71" t="str">
        <x:v>Humanizer包／3份</x:v>
      </x:c>
      <x:c r="E968" s="73" t="n">
        <x:v>6.49</x:v>
      </x:c>
      <x:c r="F968" s="71" t="str">
        <x:v>6,49 ₾</x:v>
      </x:c>
      <x:c r="G968" s="71" t="str">
        <x:v>ka-GE</x:v>
      </x:c>
    </x:row>
    <x:row r="969" ht="27" customHeight="1">
      <x:c r="A969" s="71" t="str">
        <x:v>格鲁吉亚</x:v>
      </x:c>
      <x:c r="B969" s="71" t="str">
        <x:v>第3组</x:v>
      </x:c>
      <x:c r="C969" s="71" t="str">
        <x:v>GEL</x:v>
      </x:c>
      <x:c r="D969" s="71" t="str">
        <x:v>Study Pass／月</x:v>
      </x:c>
      <x:c r="E969" s="73" t="n">
        <x:v>1.6</x:v>
      </x:c>
      <x:c r="F969" s="71" t="str">
        <x:v>1,60 ₾</x:v>
      </x:c>
      <x:c r="G969" s="71" t="str">
        <x:v>ka-GE</x:v>
      </x:c>
    </x:row>
    <x:row r="970" ht="27" customHeight="1">
      <x:c r="A970" s="71" t="str">
        <x:v>洪都拉斯</x:v>
      </x:c>
      <x:c r="B970" s="71" t="str">
        <x:v>第3组</x:v>
      </x:c>
      <x:c r="C970" s="71" t="str">
        <x:v>HNL</x:v>
      </x:c>
      <x:c r="D970" s="71" t="str">
        <x:v>Trial／7天</x:v>
      </x:c>
      <x:c r="E970" s="72" t="n">
        <x:v>24</x:v>
      </x:c>
      <x:c r="F970" s="71" t="str">
        <x:v>L 24</x:v>
      </x:c>
      <x:c r="G970" s="71" t="str">
        <x:v>es-HN</x:v>
      </x:c>
    </x:row>
    <x:row r="971" ht="27" customHeight="1">
      <x:c r="A971" s="71" t="str">
        <x:v>洪都拉斯</x:v>
      </x:c>
      <x:c r="B971" s="71" t="str">
        <x:v>第3组</x:v>
      </x:c>
      <x:c r="C971" s="71" t="str">
        <x:v>HNL</x:v>
      </x:c>
      <x:c r="D971" s="71" t="str">
        <x:v>Basic／月</x:v>
      </x:c>
      <x:c r="E971" s="72" t="n">
        <x:v>159</x:v>
      </x:c>
      <x:c r="F971" s="71" t="str">
        <x:v>L 159</x:v>
      </x:c>
      <x:c r="G971" s="71" t="str">
        <x:v>es-HN</x:v>
      </x:c>
    </x:row>
    <x:row r="972" ht="27" customHeight="1">
      <x:c r="A972" s="71" t="str">
        <x:v>洪都拉斯</x:v>
      </x:c>
      <x:c r="B972" s="71" t="str">
        <x:v>第3组</x:v>
      </x:c>
      <x:c r="C972" s="71" t="str">
        <x:v>HNL</x:v>
      </x:c>
      <x:c r="D972" s="71" t="str">
        <x:v>Plus／月</x:v>
      </x:c>
      <x:c r="E972" s="72" t="n">
        <x:v>319</x:v>
      </x:c>
      <x:c r="F972" s="71" t="str">
        <x:v>L 319</x:v>
      </x:c>
      <x:c r="G972" s="71" t="str">
        <x:v>es-HN</x:v>
      </x:c>
    </x:row>
    <x:row r="973" ht="27" customHeight="1">
      <x:c r="A973" s="71" t="str">
        <x:v>洪都拉斯</x:v>
      </x:c>
      <x:c r="B973" s="71" t="str">
        <x:v>第3组</x:v>
      </x:c>
      <x:c r="C973" s="71" t="str">
        <x:v>HNL</x:v>
      </x:c>
      <x:c r="D973" s="71" t="str">
        <x:v>新Pro／月</x:v>
      </x:c>
      <x:c r="E973" s="72" t="n">
        <x:v>239</x:v>
      </x:c>
      <x:c r="F973" s="71" t="str">
        <x:v>L 239</x:v>
      </x:c>
      <x:c r="G973" s="71" t="str">
        <x:v>es-HN</x:v>
      </x:c>
    </x:row>
    <x:row r="974" ht="27" customHeight="1">
      <x:c r="A974" s="71" t="str">
        <x:v>洪都拉斯</x:v>
      </x:c>
      <x:c r="B974" s="71" t="str">
        <x:v>第3组</x:v>
      </x:c>
      <x:c r="C974" s="71" t="str">
        <x:v>HNL</x:v>
      </x:c>
      <x:c r="D974" s="71" t="str">
        <x:v>Basic／年</x:v>
      </x:c>
      <x:c r="E974" s="72" t="n">
        <x:v>769</x:v>
      </x:c>
      <x:c r="F974" s="71" t="str">
        <x:v>L 769</x:v>
      </x:c>
      <x:c r="G974" s="71" t="str">
        <x:v>es-HN</x:v>
      </x:c>
    </x:row>
    <x:row r="975" ht="27" customHeight="1">
      <x:c r="A975" s="71" t="str">
        <x:v>洪都拉斯</x:v>
      </x:c>
      <x:c r="B975" s="71" t="str">
        <x:v>第3组</x:v>
      </x:c>
      <x:c r="C975" s="71" t="str">
        <x:v>HNL</x:v>
      </x:c>
      <x:c r="D975" s="71" t="str">
        <x:v>Plus／年</x:v>
      </x:c>
      <x:c r="E975" s="72" t="n">
        <x:v>1499</x:v>
      </x:c>
      <x:c r="F975" s="71" t="str">
        <x:v>L 1,499</x:v>
      </x:c>
      <x:c r="G975" s="71" t="str">
        <x:v>es-HN</x:v>
      </x:c>
    </x:row>
    <x:row r="976" ht="27" customHeight="1">
      <x:c r="A976" s="71" t="str">
        <x:v>洪都拉斯</x:v>
      </x:c>
      <x:c r="B976" s="71" t="str">
        <x:v>第3组</x:v>
      </x:c>
      <x:c r="C976" s="71" t="str">
        <x:v>HNL</x:v>
      </x:c>
      <x:c r="D976" s="71" t="str">
        <x:v>新Pro／年</x:v>
      </x:c>
      <x:c r="E976" s="72" t="n">
        <x:v>2868</x:v>
      </x:c>
      <x:c r="F976" s="71" t="str">
        <x:v>L 2,868</x:v>
      </x:c>
      <x:c r="G976" s="71" t="str">
        <x:v>es-HN</x:v>
      </x:c>
    </x:row>
    <x:row r="977" ht="27" customHeight="1">
      <x:c r="A977" s="71" t="str">
        <x:v>洪都拉斯</x:v>
      </x:c>
      <x:c r="B977" s="71" t="str">
        <x:v>第3组</x:v>
      </x:c>
      <x:c r="C977" s="71" t="str">
        <x:v>HNL</x:v>
      </x:c>
      <x:c r="D977" s="71" t="str">
        <x:v>作业包／3份</x:v>
      </x:c>
      <x:c r="E977" s="72" t="n">
        <x:v>79</x:v>
      </x:c>
      <x:c r="F977" s="71" t="str">
        <x:v>L 79</x:v>
      </x:c>
      <x:c r="G977" s="71" t="str">
        <x:v>es-HN</x:v>
      </x:c>
    </x:row>
    <x:row r="978" ht="27" customHeight="1">
      <x:c r="A978" s="71" t="str">
        <x:v>洪都拉斯</x:v>
      </x:c>
      <x:c r="B978" s="71" t="str">
        <x:v>第3组</x:v>
      </x:c>
      <x:c r="C978" s="71" t="str">
        <x:v>HNL</x:v>
      </x:c>
      <x:c r="D978" s="71" t="str">
        <x:v>检测包／5份</x:v>
      </x:c>
      <x:c r="E978" s="72" t="n">
        <x:v>39</x:v>
      </x:c>
      <x:c r="F978" s="71" t="str">
        <x:v>L 39</x:v>
      </x:c>
      <x:c r="G978" s="71" t="str">
        <x:v>es-HN</x:v>
      </x:c>
    </x:row>
    <x:row r="979" ht="27" customHeight="1">
      <x:c r="A979" s="71" t="str">
        <x:v>洪都拉斯</x:v>
      </x:c>
      <x:c r="B979" s="71" t="str">
        <x:v>第3组</x:v>
      </x:c>
      <x:c r="C979" s="71" t="str">
        <x:v>HNL</x:v>
      </x:c>
      <x:c r="D979" s="71" t="str">
        <x:v>Humanizer包／3份</x:v>
      </x:c>
      <x:c r="E979" s="72" t="n">
        <x:v>59</x:v>
      </x:c>
      <x:c r="F979" s="71" t="str">
        <x:v>L 59</x:v>
      </x:c>
      <x:c r="G979" s="71" t="str">
        <x:v>es-HN</x:v>
      </x:c>
    </x:row>
    <x:row r="980" ht="27" customHeight="1">
      <x:c r="A980" s="71" t="str">
        <x:v>洪都拉斯</x:v>
      </x:c>
      <x:c r="B980" s="71" t="str">
        <x:v>第3组</x:v>
      </x:c>
      <x:c r="C980" s="71" t="str">
        <x:v>HNL</x:v>
      </x:c>
      <x:c r="D980" s="71" t="str">
        <x:v>Study Pass／月</x:v>
      </x:c>
      <x:c r="E980" s="72" t="n">
        <x:v>16</x:v>
      </x:c>
      <x:c r="F980" s="71" t="str">
        <x:v>L 16</x:v>
      </x:c>
      <x:c r="G980" s="71" t="str">
        <x:v>es-HN</x:v>
      </x:c>
    </x:row>
    <x:row r="981" ht="27" customHeight="1">
      <x:c r="A981" s="71" t="str">
        <x:v>匈牙利</x:v>
      </x:c>
      <x:c r="B981" s="71" t="str">
        <x:v>第3组</x:v>
      </x:c>
      <x:c r="C981" s="71" t="str">
        <x:v>HUF</x:v>
      </x:c>
      <x:c r="D981" s="71" t="str">
        <x:v>Trial／7天</x:v>
      </x:c>
      <x:c r="E981" s="72" t="n">
        <x:v>479</x:v>
      </x:c>
      <x:c r="F981" s="71" t="str">
        <x:v>479 Ft</x:v>
      </x:c>
      <x:c r="G981" s="71" t="str">
        <x:v>hu-HU</x:v>
      </x:c>
    </x:row>
    <x:row r="982" ht="27" customHeight="1">
      <x:c r="A982" s="71" t="str">
        <x:v>匈牙利</x:v>
      </x:c>
      <x:c r="B982" s="71" t="str">
        <x:v>第3组</x:v>
      </x:c>
      <x:c r="C982" s="71" t="str">
        <x:v>HUF</x:v>
      </x:c>
      <x:c r="D982" s="71" t="str">
        <x:v>Basic／月</x:v>
      </x:c>
      <x:c r="E982" s="72" t="n">
        <x:v>3199</x:v>
      </x:c>
      <x:c r="F982" s="71" t="str">
        <x:v>3 199 Ft</x:v>
      </x:c>
      <x:c r="G982" s="71" t="str">
        <x:v>hu-HU</x:v>
      </x:c>
    </x:row>
    <x:row r="983" ht="27" customHeight="1">
      <x:c r="A983" s="71" t="str">
        <x:v>匈牙利</x:v>
      </x:c>
      <x:c r="B983" s="71" t="str">
        <x:v>第3组</x:v>
      </x:c>
      <x:c r="C983" s="71" t="str">
        <x:v>HUF</x:v>
      </x:c>
      <x:c r="D983" s="71" t="str">
        <x:v>Plus／月</x:v>
      </x:c>
      <x:c r="E983" s="72" t="n">
        <x:v>6499</x:v>
      </x:c>
      <x:c r="F983" s="71" t="str">
        <x:v>6 499 Ft</x:v>
      </x:c>
      <x:c r="G983" s="71" t="str">
        <x:v>hu-HU</x:v>
      </x:c>
    </x:row>
    <x:row r="984" ht="27" customHeight="1">
      <x:c r="A984" s="71" t="str">
        <x:v>匈牙利</x:v>
      </x:c>
      <x:c r="B984" s="71" t="str">
        <x:v>第3组</x:v>
      </x:c>
      <x:c r="C984" s="71" t="str">
        <x:v>HUF</x:v>
      </x:c>
      <x:c r="D984" s="71" t="str">
        <x:v>新Pro／月</x:v>
      </x:c>
      <x:c r="E984" s="72" t="n">
        <x:v>4799</x:v>
      </x:c>
      <x:c r="F984" s="71" t="str">
        <x:v>4 799 Ft</x:v>
      </x:c>
      <x:c r="G984" s="71" t="str">
        <x:v>hu-HU</x:v>
      </x:c>
    </x:row>
    <x:row r="985" ht="27" customHeight="1">
      <x:c r="A985" s="71" t="str">
        <x:v>匈牙利</x:v>
      </x:c>
      <x:c r="B985" s="71" t="str">
        <x:v>第3组</x:v>
      </x:c>
      <x:c r="C985" s="71" t="str">
        <x:v>HUF</x:v>
      </x:c>
      <x:c r="D985" s="71" t="str">
        <x:v>Basic／年</x:v>
      </x:c>
      <x:c r="E985" s="72" t="n">
        <x:v>15499</x:v>
      </x:c>
      <x:c r="F985" s="71" t="str">
        <x:v>15 499 Ft</x:v>
      </x:c>
      <x:c r="G985" s="71" t="str">
        <x:v>hu-HU</x:v>
      </x:c>
    </x:row>
    <x:row r="986" ht="27" customHeight="1">
      <x:c r="A986" s="71" t="str">
        <x:v>匈牙利</x:v>
      </x:c>
      <x:c r="B986" s="71" t="str">
        <x:v>第3组</x:v>
      </x:c>
      <x:c r="C986" s="71" t="str">
        <x:v>HUF</x:v>
      </x:c>
      <x:c r="D986" s="71" t="str">
        <x:v>Plus／年</x:v>
      </x:c>
      <x:c r="E986" s="72" t="n">
        <x:v>30900</x:v>
      </x:c>
      <x:c r="F986" s="71" t="str">
        <x:v>30 900 Ft</x:v>
      </x:c>
      <x:c r="G986" s="71" t="str">
        <x:v>hu-HU</x:v>
      </x:c>
    </x:row>
    <x:row r="987" ht="27" customHeight="1">
      <x:c r="A987" s="71" t="str">
        <x:v>匈牙利</x:v>
      </x:c>
      <x:c r="B987" s="71" t="str">
        <x:v>第3组</x:v>
      </x:c>
      <x:c r="C987" s="71" t="str">
        <x:v>HUF</x:v>
      </x:c>
      <x:c r="D987" s="71" t="str">
        <x:v>新Pro／年</x:v>
      </x:c>
      <x:c r="E987" s="72" t="n">
        <x:v>57588</x:v>
      </x:c>
      <x:c r="F987" s="71" t="str">
        <x:v>57 588 Ft</x:v>
      </x:c>
      <x:c r="G987" s="71" t="str">
        <x:v>hu-HU</x:v>
      </x:c>
    </x:row>
    <x:row r="988" ht="27" customHeight="1">
      <x:c r="A988" s="71" t="str">
        <x:v>匈牙利</x:v>
      </x:c>
      <x:c r="B988" s="71" t="str">
        <x:v>第3组</x:v>
      </x:c>
      <x:c r="C988" s="71" t="str">
        <x:v>HUF</x:v>
      </x:c>
      <x:c r="D988" s="71" t="str">
        <x:v>作业包／3份</x:v>
      </x:c>
      <x:c r="E988" s="72" t="n">
        <x:v>1599</x:v>
      </x:c>
      <x:c r="F988" s="71" t="str">
        <x:v>1 599 Ft</x:v>
      </x:c>
      <x:c r="G988" s="71" t="str">
        <x:v>hu-HU</x:v>
      </x:c>
    </x:row>
    <x:row r="989" ht="27" customHeight="1">
      <x:c r="A989" s="71" t="str">
        <x:v>匈牙利</x:v>
      </x:c>
      <x:c r="B989" s="71" t="str">
        <x:v>第3组</x:v>
      </x:c>
      <x:c r="C989" s="71" t="str">
        <x:v>HUF</x:v>
      </x:c>
      <x:c r="D989" s="71" t="str">
        <x:v>检测包／5份</x:v>
      </x:c>
      <x:c r="E989" s="72" t="n">
        <x:v>809</x:v>
      </x:c>
      <x:c r="F989" s="71" t="str">
        <x:v>809 Ft</x:v>
      </x:c>
      <x:c r="G989" s="71" t="str">
        <x:v>hu-HU</x:v>
      </x:c>
    </x:row>
    <x:row r="990" ht="27" customHeight="1">
      <x:c r="A990" s="71" t="str">
        <x:v>匈牙利</x:v>
      </x:c>
      <x:c r="B990" s="71" t="str">
        <x:v>第3组</x:v>
      </x:c>
      <x:c r="C990" s="71" t="str">
        <x:v>HUF</x:v>
      </x:c>
      <x:c r="D990" s="71" t="str">
        <x:v>Humanizer包／3份</x:v>
      </x:c>
      <x:c r="E990" s="72" t="n">
        <x:v>1099</x:v>
      </x:c>
      <x:c r="F990" s="71" t="str">
        <x:v>1 099 Ft</x:v>
      </x:c>
      <x:c r="G990" s="71" t="str">
        <x:v>hu-HU</x:v>
      </x:c>
    </x:row>
    <x:row r="991" ht="27" customHeight="1">
      <x:c r="A991" s="71" t="str">
        <x:v>匈牙利</x:v>
      </x:c>
      <x:c r="B991" s="71" t="str">
        <x:v>第3组</x:v>
      </x:c>
      <x:c r="C991" s="71" t="str">
        <x:v>HUF</x:v>
      </x:c>
      <x:c r="D991" s="71" t="str">
        <x:v>Study Pass／月</x:v>
      </x:c>
      <x:c r="E991" s="72" t="n">
        <x:v>200</x:v>
      </x:c>
      <x:c r="F991" s="71" t="str">
        <x:v>200 Ft</x:v>
      </x:c>
      <x:c r="G991" s="71" t="str">
        <x:v>hu-HU</x:v>
      </x:c>
    </x:row>
    <x:row r="992" ht="27" customHeight="1">
      <x:c r="A992" s="71" t="str">
        <x:v>科特迪瓦</x:v>
      </x:c>
      <x:c r="B992" s="71" t="str">
        <x:v>第3组</x:v>
      </x:c>
      <x:c r="C992" s="71" t="str">
        <x:v>XOF</x:v>
      </x:c>
      <x:c r="D992" s="71" t="str">
        <x:v>Trial／7天</x:v>
      </x:c>
      <x:c r="E992" s="72" t="n">
        <x:v>439</x:v>
      </x:c>
      <x:c r="F992" s="71" t="str">
        <x:v>439 F CFA</x:v>
      </x:c>
      <x:c r="G992" s="71" t="str">
        <x:v>fr-CI</x:v>
      </x:c>
    </x:row>
    <x:row r="993" ht="27" customHeight="1">
      <x:c r="A993" s="71" t="str">
        <x:v>科特迪瓦</x:v>
      </x:c>
      <x:c r="B993" s="71" t="str">
        <x:v>第3组</x:v>
      </x:c>
      <x:c r="C993" s="71" t="str">
        <x:v>XOF</x:v>
      </x:c>
      <x:c r="D993" s="71" t="str">
        <x:v>Basic／月</x:v>
      </x:c>
      <x:c r="E993" s="72" t="n">
        <x:v>2899</x:v>
      </x:c>
      <x:c r="F993" s="71" t="str">
        <x:v>2 899 F CFA</x:v>
      </x:c>
      <x:c r="G993" s="71" t="str">
        <x:v>fr-CI</x:v>
      </x:c>
    </x:row>
    <x:row r="994" ht="27" customHeight="1">
      <x:c r="A994" s="71" t="str">
        <x:v>科特迪瓦</x:v>
      </x:c>
      <x:c r="B994" s="71" t="str">
        <x:v>第3组</x:v>
      </x:c>
      <x:c r="C994" s="71" t="str">
        <x:v>XOF</x:v>
      </x:c>
      <x:c r="D994" s="71" t="str">
        <x:v>Plus／月</x:v>
      </x:c>
      <x:c r="E994" s="72" t="n">
        <x:v>5799</x:v>
      </x:c>
      <x:c r="F994" s="71" t="str">
        <x:v>5 799 F CFA</x:v>
      </x:c>
      <x:c r="G994" s="71" t="str">
        <x:v>fr-CI</x:v>
      </x:c>
    </x:row>
    <x:row r="995" ht="27" customHeight="1">
      <x:c r="A995" s="71" t="str">
        <x:v>科特迪瓦</x:v>
      </x:c>
      <x:c r="B995" s="71" t="str">
        <x:v>第3组</x:v>
      </x:c>
      <x:c r="C995" s="71" t="str">
        <x:v>XOF</x:v>
      </x:c>
      <x:c r="D995" s="71" t="str">
        <x:v>新Pro／月</x:v>
      </x:c>
      <x:c r="E995" s="72" t="n">
        <x:v>4399</x:v>
      </x:c>
      <x:c r="F995" s="71" t="str">
        <x:v>4 399 F CFA</x:v>
      </x:c>
      <x:c r="G995" s="71" t="str">
        <x:v>fr-CI</x:v>
      </x:c>
    </x:row>
    <x:row r="996" ht="27" customHeight="1">
      <x:c r="A996" s="71" t="str">
        <x:v>科特迪瓦</x:v>
      </x:c>
      <x:c r="B996" s="71" t="str">
        <x:v>第3组</x:v>
      </x:c>
      <x:c r="C996" s="71" t="str">
        <x:v>XOF</x:v>
      </x:c>
      <x:c r="D996" s="71" t="str">
        <x:v>Basic／年</x:v>
      </x:c>
      <x:c r="E996" s="72" t="n">
        <x:v>13900</x:v>
      </x:c>
      <x:c r="F996" s="71" t="str">
        <x:v>13 900 F CFA</x:v>
      </x:c>
      <x:c r="G996" s="71" t="str">
        <x:v>fr-CI</x:v>
      </x:c>
    </x:row>
    <x:row r="997" ht="27" customHeight="1">
      <x:c r="A997" s="71" t="str">
        <x:v>科特迪瓦</x:v>
      </x:c>
      <x:c r="B997" s="71" t="str">
        <x:v>第3组</x:v>
      </x:c>
      <x:c r="C997" s="71" t="str">
        <x:v>XOF</x:v>
      </x:c>
      <x:c r="D997" s="71" t="str">
        <x:v>Plus／年</x:v>
      </x:c>
      <x:c r="E997" s="72" t="n">
        <x:v>27900</x:v>
      </x:c>
      <x:c r="F997" s="71" t="str">
        <x:v>27 900 F CFA</x:v>
      </x:c>
      <x:c r="G997" s="71" t="str">
        <x:v>fr-CI</x:v>
      </x:c>
    </x:row>
    <x:row r="998" ht="27" customHeight="1">
      <x:c r="A998" s="71" t="str">
        <x:v>科特迪瓦</x:v>
      </x:c>
      <x:c r="B998" s="71" t="str">
        <x:v>第3组</x:v>
      </x:c>
      <x:c r="C998" s="71" t="str">
        <x:v>XOF</x:v>
      </x:c>
      <x:c r="D998" s="71" t="str">
        <x:v>新Pro／年</x:v>
      </x:c>
      <x:c r="E998" s="72" t="n">
        <x:v>52788</x:v>
      </x:c>
      <x:c r="F998" s="71" t="str">
        <x:v>52 788 F CFA</x:v>
      </x:c>
      <x:c r="G998" s="71" t="str">
        <x:v>fr-CI</x:v>
      </x:c>
    </x:row>
    <x:row r="999" ht="27" customHeight="1">
      <x:c r="A999" s="71" t="str">
        <x:v>科特迪瓦</x:v>
      </x:c>
      <x:c r="B999" s="71" t="str">
        <x:v>第3组</x:v>
      </x:c>
      <x:c r="C999" s="71" t="str">
        <x:v>XOF</x:v>
      </x:c>
      <x:c r="D999" s="71" t="str">
        <x:v>作业包／3份</x:v>
      </x:c>
      <x:c r="E999" s="72" t="n">
        <x:v>1499</x:v>
      </x:c>
      <x:c r="F999" s="71" t="str">
        <x:v>1 499 F CFA</x:v>
      </x:c>
      <x:c r="G999" s="71" t="str">
        <x:v>fr-CI</x:v>
      </x:c>
    </x:row>
    <x:row r="1000" ht="27" customHeight="1">
      <x:c r="A1000" s="71" t="str">
        <x:v>科特迪瓦</x:v>
      </x:c>
      <x:c r="B1000" s="71" t="str">
        <x:v>第3组</x:v>
      </x:c>
      <x:c r="C1000" s="71" t="str">
        <x:v>XOF</x:v>
      </x:c>
      <x:c r="D1000" s="71" t="str">
        <x:v>检测包／5份</x:v>
      </x:c>
      <x:c r="E1000" s="72" t="n">
        <x:v>729</x:v>
      </x:c>
      <x:c r="F1000" s="71" t="str">
        <x:v>729 F CFA</x:v>
      </x:c>
      <x:c r="G1000" s="71" t="str">
        <x:v>fr-CI</x:v>
      </x:c>
    </x:row>
    <x:row r="1001" ht="27" customHeight="1">
      <x:c r="A1001" s="71" t="str">
        <x:v>科特迪瓦</x:v>
      </x:c>
      <x:c r="B1001" s="71" t="str">
        <x:v>第3组</x:v>
      </x:c>
      <x:c r="C1001" s="71" t="str">
        <x:v>XOF</x:v>
      </x:c>
      <x:c r="D1001" s="71" t="str">
        <x:v>Humanizer包／3份</x:v>
      </x:c>
      <x:c r="E1001" s="72" t="n">
        <x:v>999</x:v>
      </x:c>
      <x:c r="F1001" s="71" t="str">
        <x:v>999 F CFA</x:v>
      </x:c>
      <x:c r="G1001" s="71" t="str">
        <x:v>fr-CI</x:v>
      </x:c>
    </x:row>
    <x:row r="1002" ht="27" customHeight="1">
      <x:c r="A1002" s="71" t="str">
        <x:v>科特迪瓦</x:v>
      </x:c>
      <x:c r="B1002" s="71" t="str">
        <x:v>第3组</x:v>
      </x:c>
      <x:c r="C1002" s="71" t="str">
        <x:v>XOF</x:v>
      </x:c>
      <x:c r="D1002" s="71" t="str">
        <x:v>Study Pass／月</x:v>
      </x:c>
      <x:c r="E1002" s="72" t="n">
        <x:v>350</x:v>
      </x:c>
      <x:c r="F1002" s="71" t="str">
        <x:v>350 F CFA</x:v>
      </x:c>
      <x:c r="G1002" s="71" t="str">
        <x:v>fr-CI</x:v>
      </x:c>
    </x:row>
    <x:row r="1003" ht="27" customHeight="1">
      <x:c r="A1003" s="71" t="str">
        <x:v>哈萨克斯坦</x:v>
      </x:c>
      <x:c r="B1003" s="71" t="str">
        <x:v>第3组</x:v>
      </x:c>
      <x:c r="C1003" s="71" t="str">
        <x:v>KZT</x:v>
      </x:c>
      <x:c r="D1003" s="71" t="str">
        <x:v>Trial／7天</x:v>
      </x:c>
      <x:c r="E1003" s="72" t="n">
        <x:v>539</x:v>
      </x:c>
      <x:c r="F1003" s="71" t="str">
        <x:v>539 ₸</x:v>
      </x:c>
      <x:c r="G1003" s="71" t="str">
        <x:v>kk-KZ</x:v>
      </x:c>
    </x:row>
    <x:row r="1004" ht="27" customHeight="1">
      <x:c r="A1004" s="71" t="str">
        <x:v>哈萨克斯坦</x:v>
      </x:c>
      <x:c r="B1004" s="71" t="str">
        <x:v>第3组</x:v>
      </x:c>
      <x:c r="C1004" s="71" t="str">
        <x:v>KZT</x:v>
      </x:c>
      <x:c r="D1004" s="71" t="str">
        <x:v>Basic／月</x:v>
      </x:c>
      <x:c r="E1004" s="72" t="n">
        <x:v>3599</x:v>
      </x:c>
      <x:c r="F1004" s="71" t="str">
        <x:v>3 599 ₸</x:v>
      </x:c>
      <x:c r="G1004" s="71" t="str">
        <x:v>kk-KZ</x:v>
      </x:c>
    </x:row>
    <x:row r="1005" ht="27" customHeight="1">
      <x:c r="A1005" s="71" t="str">
        <x:v>哈萨克斯坦</x:v>
      </x:c>
      <x:c r="B1005" s="71" t="str">
        <x:v>第3组</x:v>
      </x:c>
      <x:c r="C1005" s="71" t="str">
        <x:v>KZT</x:v>
      </x:c>
      <x:c r="D1005" s="71" t="str">
        <x:v>Plus／月</x:v>
      </x:c>
      <x:c r="E1005" s="72" t="n">
        <x:v>7199</x:v>
      </x:c>
      <x:c r="F1005" s="71" t="str">
        <x:v>7 199 ₸</x:v>
      </x:c>
      <x:c r="G1005" s="71" t="str">
        <x:v>kk-KZ</x:v>
      </x:c>
    </x:row>
    <x:row r="1006" ht="27" customHeight="1">
      <x:c r="A1006" s="71" t="str">
        <x:v>哈萨克斯坦</x:v>
      </x:c>
      <x:c r="B1006" s="71" t="str">
        <x:v>第3组</x:v>
      </x:c>
      <x:c r="C1006" s="71" t="str">
        <x:v>KZT</x:v>
      </x:c>
      <x:c r="D1006" s="71" t="str">
        <x:v>新Pro／月</x:v>
      </x:c>
      <x:c r="E1006" s="72" t="n">
        <x:v>5399</x:v>
      </x:c>
      <x:c r="F1006" s="71" t="str">
        <x:v>5 399 ₸</x:v>
      </x:c>
      <x:c r="G1006" s="71" t="str">
        <x:v>kk-KZ</x:v>
      </x:c>
    </x:row>
    <x:row r="1007" ht="27" customHeight="1">
      <x:c r="A1007" s="71" t="str">
        <x:v>哈萨克斯坦</x:v>
      </x:c>
      <x:c r="B1007" s="71" t="str">
        <x:v>第3组</x:v>
      </x:c>
      <x:c r="C1007" s="71" t="str">
        <x:v>KZT</x:v>
      </x:c>
      <x:c r="D1007" s="71" t="str">
        <x:v>Basic／年</x:v>
      </x:c>
      <x:c r="E1007" s="72" t="n">
        <x:v>16900</x:v>
      </x:c>
      <x:c r="F1007" s="71" t="str">
        <x:v>16 900 ₸</x:v>
      </x:c>
      <x:c r="G1007" s="71" t="str">
        <x:v>kk-KZ</x:v>
      </x:c>
    </x:row>
    <x:row r="1008" ht="27" customHeight="1">
      <x:c r="A1008" s="71" t="str">
        <x:v>哈萨克斯坦</x:v>
      </x:c>
      <x:c r="B1008" s="71" t="str">
        <x:v>第3组</x:v>
      </x:c>
      <x:c r="C1008" s="71" t="str">
        <x:v>KZT</x:v>
      </x:c>
      <x:c r="D1008" s="71" t="str">
        <x:v>Plus／年</x:v>
      </x:c>
      <x:c r="E1008" s="72" t="n">
        <x:v>34900</x:v>
      </x:c>
      <x:c r="F1008" s="71" t="str">
        <x:v>34 900 ₸</x:v>
      </x:c>
      <x:c r="G1008" s="71" t="str">
        <x:v>kk-KZ</x:v>
      </x:c>
    </x:row>
    <x:row r="1009" ht="27" customHeight="1">
      <x:c r="A1009" s="71" t="str">
        <x:v>哈萨克斯坦</x:v>
      </x:c>
      <x:c r="B1009" s="71" t="str">
        <x:v>第3组</x:v>
      </x:c>
      <x:c r="C1009" s="71" t="str">
        <x:v>KZT</x:v>
      </x:c>
      <x:c r="D1009" s="71" t="str">
        <x:v>新Pro／年</x:v>
      </x:c>
      <x:c r="E1009" s="72" t="n">
        <x:v>64788</x:v>
      </x:c>
      <x:c r="F1009" s="71" t="str">
        <x:v>64 788 ₸</x:v>
      </x:c>
      <x:c r="G1009" s="71" t="str">
        <x:v>kk-KZ</x:v>
      </x:c>
    </x:row>
    <x:row r="1010" ht="27" customHeight="1">
      <x:c r="A1010" s="71" t="str">
        <x:v>哈萨克斯坦</x:v>
      </x:c>
      <x:c r="B1010" s="71" t="str">
        <x:v>第3组</x:v>
      </x:c>
      <x:c r="C1010" s="71" t="str">
        <x:v>KZT</x:v>
      </x:c>
      <x:c r="D1010" s="71" t="str">
        <x:v>作业包／3份</x:v>
      </x:c>
      <x:c r="E1010" s="72" t="n">
        <x:v>1799</x:v>
      </x:c>
      <x:c r="F1010" s="71" t="str">
        <x:v>1 799 ₸</x:v>
      </x:c>
      <x:c r="G1010" s="71" t="str">
        <x:v>kk-KZ</x:v>
      </x:c>
    </x:row>
    <x:row r="1011" ht="27" customHeight="1">
      <x:c r="A1011" s="71" t="str">
        <x:v>哈萨克斯坦</x:v>
      </x:c>
      <x:c r="B1011" s="71" t="str">
        <x:v>第3组</x:v>
      </x:c>
      <x:c r="C1011" s="71" t="str">
        <x:v>KZT</x:v>
      </x:c>
      <x:c r="D1011" s="71" t="str">
        <x:v>检测包／5份</x:v>
      </x:c>
      <x:c r="E1011" s="72" t="n">
        <x:v>899</x:v>
      </x:c>
      <x:c r="F1011" s="71" t="str">
        <x:v>899 ₸</x:v>
      </x:c>
      <x:c r="G1011" s="71" t="str">
        <x:v>kk-KZ</x:v>
      </x:c>
    </x:row>
    <x:row r="1012" ht="27" customHeight="1">
      <x:c r="A1012" s="71" t="str">
        <x:v>哈萨克斯坦</x:v>
      </x:c>
      <x:c r="B1012" s="71" t="str">
        <x:v>第3组</x:v>
      </x:c>
      <x:c r="C1012" s="71" t="str">
        <x:v>KZT</x:v>
      </x:c>
      <x:c r="D1012" s="71" t="str">
        <x:v>Humanizer包／3份</x:v>
      </x:c>
      <x:c r="E1012" s="72" t="n">
        <x:v>1299</x:v>
      </x:c>
      <x:c r="F1012" s="71" t="str">
        <x:v>1 299 ₸</x:v>
      </x:c>
      <x:c r="G1012" s="71" t="str">
        <x:v>kk-KZ</x:v>
      </x:c>
    </x:row>
    <x:row r="1013" ht="27" customHeight="1">
      <x:c r="A1013" s="71" t="str">
        <x:v>哈萨克斯坦</x:v>
      </x:c>
      <x:c r="B1013" s="71" t="str">
        <x:v>第3组</x:v>
      </x:c>
      <x:c r="C1013" s="71" t="str">
        <x:v>KZT</x:v>
      </x:c>
      <x:c r="D1013" s="71" t="str">
        <x:v>Study Pass／月</x:v>
      </x:c>
      <x:c r="E1013" s="72" t="n">
        <x:v>280</x:v>
      </x:c>
      <x:c r="F1013" s="71" t="str">
        <x:v>280 ₸</x:v>
      </x:c>
      <x:c r="G1013" s="71" t="str">
        <x:v>kk-KZ</x:v>
      </x:c>
    </x:row>
    <x:row r="1014" ht="27" customHeight="1">
      <x:c r="A1014" s="71" t="str">
        <x:v>科威特</x:v>
      </x:c>
      <x:c r="B1014" s="71" t="str">
        <x:v>第3组</x:v>
      </x:c>
      <x:c r="C1014" s="71" t="str">
        <x:v>USD</x:v>
      </x:c>
      <x:c r="D1014" s="71" t="str">
        <x:v>Trial／7天</x:v>
      </x:c>
      <x:c r="E1014" s="73" t="n">
        <x:v>1.95</x:v>
      </x:c>
      <x:c r="F1014" s="71" t="str">
        <x:v>‏1.95 US$</x:v>
      </x:c>
      <x:c r="G1014" s="71" t="str">
        <x:v>ar-KW</x:v>
      </x:c>
    </x:row>
    <x:row r="1015" ht="27" customHeight="1">
      <x:c r="A1015" s="71" t="str">
        <x:v>科威特</x:v>
      </x:c>
      <x:c r="B1015" s="71" t="str">
        <x:v>第3组</x:v>
      </x:c>
      <x:c r="C1015" s="71" t="str">
        <x:v>USD</x:v>
      </x:c>
      <x:c r="D1015" s="71" t="str">
        <x:v>Basic／月</x:v>
      </x:c>
      <x:c r="E1015" s="73" t="n">
        <x:v>12.99</x:v>
      </x:c>
      <x:c r="F1015" s="71" t="str">
        <x:v>‏12.99 US$</x:v>
      </x:c>
      <x:c r="G1015" s="71" t="str">
        <x:v>ar-KW</x:v>
      </x:c>
    </x:row>
    <x:row r="1016" ht="27" customHeight="1">
      <x:c r="A1016" s="71" t="str">
        <x:v>科威特</x:v>
      </x:c>
      <x:c r="B1016" s="71" t="str">
        <x:v>第3组</x:v>
      </x:c>
      <x:c r="C1016" s="71" t="str">
        <x:v>USD</x:v>
      </x:c>
      <x:c r="D1016" s="71" t="str">
        <x:v>Plus／月</x:v>
      </x:c>
      <x:c r="E1016" s="73" t="n">
        <x:v>25.99</x:v>
      </x:c>
      <x:c r="F1016" s="71" t="str">
        <x:v>‏25.99 US$</x:v>
      </x:c>
      <x:c r="G1016" s="71" t="str">
        <x:v>ar-KW</x:v>
      </x:c>
    </x:row>
    <x:row r="1017" ht="27" customHeight="1">
      <x:c r="A1017" s="71" t="str">
        <x:v>科威特</x:v>
      </x:c>
      <x:c r="B1017" s="71" t="str">
        <x:v>第3组</x:v>
      </x:c>
      <x:c r="C1017" s="71" t="str">
        <x:v>USD</x:v>
      </x:c>
      <x:c r="D1017" s="71" t="str">
        <x:v>新Pro／月</x:v>
      </x:c>
      <x:c r="E1017" s="73" t="n">
        <x:v>19.49</x:v>
      </x:c>
      <x:c r="F1017" s="71" t="str">
        <x:v>‏19.49 US$</x:v>
      </x:c>
      <x:c r="G1017" s="71" t="str">
        <x:v>ar-KW</x:v>
      </x:c>
    </x:row>
    <x:row r="1018" ht="27" customHeight="1">
      <x:c r="A1018" s="71" t="str">
        <x:v>科威特</x:v>
      </x:c>
      <x:c r="B1018" s="71" t="str">
        <x:v>第3组</x:v>
      </x:c>
      <x:c r="C1018" s="71" t="str">
        <x:v>USD</x:v>
      </x:c>
      <x:c r="D1018" s="71" t="str">
        <x:v>Basic／年</x:v>
      </x:c>
      <x:c r="E1018" s="73" t="n">
        <x:v>62.3</x:v>
      </x:c>
      <x:c r="F1018" s="71" t="str">
        <x:v>‏62.30 US$</x:v>
      </x:c>
      <x:c r="G1018" s="71" t="str">
        <x:v>ar-KW</x:v>
      </x:c>
    </x:row>
    <x:row r="1019" ht="27" customHeight="1">
      <x:c r="A1019" s="71" t="str">
        <x:v>科威特</x:v>
      </x:c>
      <x:c r="B1019" s="71" t="str">
        <x:v>第3组</x:v>
      </x:c>
      <x:c r="C1019" s="71" t="str">
        <x:v>USD</x:v>
      </x:c>
      <x:c r="D1019" s="71" t="str">
        <x:v>Plus／年</x:v>
      </x:c>
      <x:c r="E1019" s="73" t="n">
        <x:v>124.7</x:v>
      </x:c>
      <x:c r="F1019" s="71" t="str">
        <x:v>‏124.70 US$</x:v>
      </x:c>
      <x:c r="G1019" s="71" t="str">
        <x:v>ar-KW</x:v>
      </x:c>
    </x:row>
    <x:row r="1020" ht="27" customHeight="1">
      <x:c r="A1020" s="71" t="str">
        <x:v>科威特</x:v>
      </x:c>
      <x:c r="B1020" s="71" t="str">
        <x:v>第3组</x:v>
      </x:c>
      <x:c r="C1020" s="71" t="str">
        <x:v>USD</x:v>
      </x:c>
      <x:c r="D1020" s="71" t="str">
        <x:v>新Pro／年</x:v>
      </x:c>
      <x:c r="E1020" s="73" t="n">
        <x:v>233.88</x:v>
      </x:c>
      <x:c r="F1020" s="71" t="str">
        <x:v>‏233.88 US$</x:v>
      </x:c>
      <x:c r="G1020" s="71" t="str">
        <x:v>ar-KW</x:v>
      </x:c>
    </x:row>
    <x:row r="1021" ht="27" customHeight="1">
      <x:c r="A1021" s="71" t="str">
        <x:v>科威特</x:v>
      </x:c>
      <x:c r="B1021" s="71" t="str">
        <x:v>第3组</x:v>
      </x:c>
      <x:c r="C1021" s="71" t="str">
        <x:v>USD</x:v>
      </x:c>
      <x:c r="D1021" s="71" t="str">
        <x:v>作业包／3份</x:v>
      </x:c>
      <x:c r="E1021" s="73" t="n">
        <x:v>6.49</x:v>
      </x:c>
      <x:c r="F1021" s="71" t="str">
        <x:v>‏6.49 US$</x:v>
      </x:c>
      <x:c r="G1021" s="71" t="str">
        <x:v>ar-KW</x:v>
      </x:c>
    </x:row>
    <x:row r="1022" ht="27" customHeight="1">
      <x:c r="A1022" s="71" t="str">
        <x:v>科威特</x:v>
      </x:c>
      <x:c r="B1022" s="71" t="str">
        <x:v>第3组</x:v>
      </x:c>
      <x:c r="C1022" s="71" t="str">
        <x:v>USD</x:v>
      </x:c>
      <x:c r="D1022" s="71" t="str">
        <x:v>检测包／5份</x:v>
      </x:c>
      <x:c r="E1022" s="73" t="n">
        <x:v>3.25</x:v>
      </x:c>
      <x:c r="F1022" s="71" t="str">
        <x:v>‏3.25 US$</x:v>
      </x:c>
      <x:c r="G1022" s="71" t="str">
        <x:v>ar-KW</x:v>
      </x:c>
    </x:row>
    <x:row r="1023" ht="27" customHeight="1">
      <x:c r="A1023" s="71" t="str">
        <x:v>科威特</x:v>
      </x:c>
      <x:c r="B1023" s="71" t="str">
        <x:v>第3组</x:v>
      </x:c>
      <x:c r="C1023" s="71" t="str">
        <x:v>USD</x:v>
      </x:c>
      <x:c r="D1023" s="71" t="str">
        <x:v>Humanizer包／3份</x:v>
      </x:c>
      <x:c r="E1023" s="73" t="n">
        <x:v>4.55</x:v>
      </x:c>
      <x:c r="F1023" s="71" t="str">
        <x:v>‏4.55 US$</x:v>
      </x:c>
      <x:c r="G1023" s="71" t="str">
        <x:v>ar-KW</x:v>
      </x:c>
    </x:row>
    <x:row r="1024" ht="27" customHeight="1">
      <x:c r="A1024" s="71" t="str">
        <x:v>科威特</x:v>
      </x:c>
      <x:c r="B1024" s="71" t="str">
        <x:v>第3组</x:v>
      </x:c>
      <x:c r="C1024" s="71" t="str">
        <x:v>USD</x:v>
      </x:c>
      <x:c r="D1024" s="71" t="str">
        <x:v>Study Pass／月</x:v>
      </x:c>
      <x:c r="E1024" s="73" t="n">
        <x:v>0.65</x:v>
      </x:c>
      <x:c r="F1024" s="71" t="str">
        <x:v>‏0.65 US$</x:v>
      </x:c>
      <x:c r="G1024" s="71" t="str">
        <x:v>ar-KW</x:v>
      </x:c>
    </x:row>
    <x:row r="1025" ht="27" customHeight="1">
      <x:c r="A1025" s="71" t="str">
        <x:v>老挝</x:v>
      </x:c>
      <x:c r="B1025" s="71" t="str">
        <x:v>第3组</x:v>
      </x:c>
      <x:c r="C1025" s="71" t="str">
        <x:v>LAK</x:v>
      </x:c>
      <x:c r="D1025" s="71" t="str">
        <x:v>Trial／7天</x:v>
      </x:c>
      <x:c r="E1025" s="72" t="n">
        <x:v>12900</x:v>
      </x:c>
      <x:c r="F1025" s="71" t="str">
        <x:v>₭12.900</x:v>
      </x:c>
      <x:c r="G1025" s="71" t="str">
        <x:v>lo-LA</x:v>
      </x:c>
    </x:row>
    <x:row r="1026" ht="27" customHeight="1">
      <x:c r="A1026" s="71" t="str">
        <x:v>老挝</x:v>
      </x:c>
      <x:c r="B1026" s="71" t="str">
        <x:v>第3组</x:v>
      </x:c>
      <x:c r="C1026" s="71" t="str">
        <x:v>LAK</x:v>
      </x:c>
      <x:c r="D1026" s="71" t="str">
        <x:v>Basic／月</x:v>
      </x:c>
      <x:c r="E1026" s="72" t="n">
        <x:v>88900</x:v>
      </x:c>
      <x:c r="F1026" s="71" t="str">
        <x:v>₭88.900</x:v>
      </x:c>
      <x:c r="G1026" s="71" t="str">
        <x:v>lo-LA</x:v>
      </x:c>
    </x:row>
    <x:row r="1027" ht="27" customHeight="1">
      <x:c r="A1027" s="71" t="str">
        <x:v>老挝</x:v>
      </x:c>
      <x:c r="B1027" s="71" t="str">
        <x:v>第3组</x:v>
      </x:c>
      <x:c r="C1027" s="71" t="str">
        <x:v>LAK</x:v>
      </x:c>
      <x:c r="D1027" s="71" t="str">
        <x:v>Plus／月</x:v>
      </x:c>
      <x:c r="E1027" s="72" t="n">
        <x:v>179000</x:v>
      </x:c>
      <x:c r="F1027" s="71" t="str">
        <x:v>₭179.000</x:v>
      </x:c>
      <x:c r="G1027" s="71" t="str">
        <x:v>lo-LA</x:v>
      </x:c>
    </x:row>
    <x:row r="1028" ht="27" customHeight="1">
      <x:c r="A1028" s="71" t="str">
        <x:v>老挝</x:v>
      </x:c>
      <x:c r="B1028" s="71" t="str">
        <x:v>第3组</x:v>
      </x:c>
      <x:c r="C1028" s="71" t="str">
        <x:v>LAK</x:v>
      </x:c>
      <x:c r="D1028" s="71" t="str">
        <x:v>新Pro／月</x:v>
      </x:c>
      <x:c r="E1028" s="72" t="n">
        <x:v>129000</x:v>
      </x:c>
      <x:c r="F1028" s="71" t="str">
        <x:v>₭129.000</x:v>
      </x:c>
      <x:c r="G1028" s="71" t="str">
        <x:v>lo-LA</x:v>
      </x:c>
    </x:row>
    <x:row r="1029" ht="27" customHeight="1">
      <x:c r="A1029" s="71" t="str">
        <x:v>老挝</x:v>
      </x:c>
      <x:c r="B1029" s="71" t="str">
        <x:v>第3组</x:v>
      </x:c>
      <x:c r="C1029" s="71" t="str">
        <x:v>LAK</x:v>
      </x:c>
      <x:c r="D1029" s="71" t="str">
        <x:v>Basic／年</x:v>
      </x:c>
      <x:c r="E1029" s="72" t="n">
        <x:v>429000</x:v>
      </x:c>
      <x:c r="F1029" s="71" t="str">
        <x:v>₭429.000</x:v>
      </x:c>
      <x:c r="G1029" s="71" t="str">
        <x:v>lo-LA</x:v>
      </x:c>
    </x:row>
    <x:row r="1030" ht="27" customHeight="1">
      <x:c r="A1030" s="71" t="str">
        <x:v>老挝</x:v>
      </x:c>
      <x:c r="B1030" s="71" t="str">
        <x:v>第3组</x:v>
      </x:c>
      <x:c r="C1030" s="71" t="str">
        <x:v>LAK</x:v>
      </x:c>
      <x:c r="D1030" s="71" t="str">
        <x:v>Plus／年</x:v>
      </x:c>
      <x:c r="E1030" s="72" t="n">
        <x:v>859000</x:v>
      </x:c>
      <x:c r="F1030" s="71" t="str">
        <x:v>₭859.000</x:v>
      </x:c>
      <x:c r="G1030" s="71" t="str">
        <x:v>lo-LA</x:v>
      </x:c>
    </x:row>
    <x:row r="1031" ht="27" customHeight="1">
      <x:c r="A1031" s="71" t="str">
        <x:v>老挝</x:v>
      </x:c>
      <x:c r="B1031" s="71" t="str">
        <x:v>第3组</x:v>
      </x:c>
      <x:c r="C1031" s="71" t="str">
        <x:v>LAK</x:v>
      </x:c>
      <x:c r="D1031" s="71" t="str">
        <x:v>新Pro／年</x:v>
      </x:c>
      <x:c r="E1031" s="72" t="n">
        <x:v>1548000</x:v>
      </x:c>
      <x:c r="F1031" s="71" t="str">
        <x:v>₭1.548.000</x:v>
      </x:c>
      <x:c r="G1031" s="71" t="str">
        <x:v>lo-LA</x:v>
      </x:c>
    </x:row>
    <x:row r="1032" ht="27" customHeight="1">
      <x:c r="A1032" s="71" t="str">
        <x:v>老挝</x:v>
      </x:c>
      <x:c r="B1032" s="71" t="str">
        <x:v>第3组</x:v>
      </x:c>
      <x:c r="C1032" s="71" t="str">
        <x:v>LAK</x:v>
      </x:c>
      <x:c r="D1032" s="71" t="str">
        <x:v>作业包／3份</x:v>
      </x:c>
      <x:c r="E1032" s="72" t="n">
        <x:v>44900</x:v>
      </x:c>
      <x:c r="F1032" s="71" t="str">
        <x:v>₭44.900</x:v>
      </x:c>
      <x:c r="G1032" s="71" t="str">
        <x:v>lo-LA</x:v>
      </x:c>
    </x:row>
    <x:row r="1033" ht="27" customHeight="1">
      <x:c r="A1033" s="71" t="str">
        <x:v>老挝</x:v>
      </x:c>
      <x:c r="B1033" s="71" t="str">
        <x:v>第3组</x:v>
      </x:c>
      <x:c r="C1033" s="71" t="str">
        <x:v>LAK</x:v>
      </x:c>
      <x:c r="D1033" s="71" t="str">
        <x:v>检测包／5份</x:v>
      </x:c>
      <x:c r="E1033" s="72" t="n">
        <x:v>21900</x:v>
      </x:c>
      <x:c r="F1033" s="71" t="str">
        <x:v>₭21.900</x:v>
      </x:c>
      <x:c r="G1033" s="71" t="str">
        <x:v>lo-LA</x:v>
      </x:c>
    </x:row>
    <x:row r="1034" ht="27" customHeight="1">
      <x:c r="A1034" s="71" t="str">
        <x:v>老挝</x:v>
      </x:c>
      <x:c r="B1034" s="71" t="str">
        <x:v>第3组</x:v>
      </x:c>
      <x:c r="C1034" s="71" t="str">
        <x:v>LAK</x:v>
      </x:c>
      <x:c r="D1034" s="71" t="str">
        <x:v>Humanizer包／3份</x:v>
      </x:c>
      <x:c r="E1034" s="72" t="n">
        <x:v>30900</x:v>
      </x:c>
      <x:c r="F1034" s="71" t="str">
        <x:v>₭30.900</x:v>
      </x:c>
      <x:c r="G1034" s="71" t="str">
        <x:v>lo-LA</x:v>
      </x:c>
    </x:row>
    <x:row r="1035" ht="27" customHeight="1">
      <x:c r="A1035" s="71" t="str">
        <x:v>老挝</x:v>
      </x:c>
      <x:c r="B1035" s="71" t="str">
        <x:v>第3组</x:v>
      </x:c>
      <x:c r="C1035" s="71" t="str">
        <x:v>LAK</x:v>
      </x:c>
      <x:c r="D1035" s="71" t="str">
        <x:v>Study Pass／月</x:v>
      </x:c>
      <x:c r="E1035" s="72" t="n">
        <x:v>13400</x:v>
      </x:c>
      <x:c r="F1035" s="71" t="str">
        <x:v>₭13.400</x:v>
      </x:c>
      <x:c r="G1035" s="71" t="str">
        <x:v>lo-LA</x:v>
      </x:c>
    </x:row>
    <x:row r="1036" ht="27" customHeight="1">
      <x:c r="A1036" s="71" t="str">
        <x:v>拉脱维亚</x:v>
      </x:c>
      <x:c r="B1036" s="71" t="str">
        <x:v>第3组</x:v>
      </x:c>
      <x:c r="C1036" s="71" t="str">
        <x:v>EUR</x:v>
      </x:c>
      <x:c r="D1036" s="71" t="str">
        <x:v>Trial／7天</x:v>
      </x:c>
      <x:c r="E1036" s="73" t="n">
        <x:v>1.49</x:v>
      </x:c>
      <x:c r="F1036" s="71" t="str">
        <x:v>1,49 €</x:v>
      </x:c>
      <x:c r="G1036" s="71" t="str">
        <x:v>lv-LV</x:v>
      </x:c>
    </x:row>
    <x:row r="1037" ht="27" customHeight="1">
      <x:c r="A1037" s="71" t="str">
        <x:v>拉脱维亚</x:v>
      </x:c>
      <x:c r="B1037" s="71" t="str">
        <x:v>第3组</x:v>
      </x:c>
      <x:c r="C1037" s="71" t="str">
        <x:v>EUR</x:v>
      </x:c>
      <x:c r="D1037" s="71" t="str">
        <x:v>Basic／月</x:v>
      </x:c>
      <x:c r="E1037" s="73" t="n">
        <x:v>9.99</x:v>
      </x:c>
      <x:c r="F1037" s="71" t="str">
        <x:v>9,99 €</x:v>
      </x:c>
      <x:c r="G1037" s="71" t="str">
        <x:v>lv-LV</x:v>
      </x:c>
    </x:row>
    <x:row r="1038" ht="27" customHeight="1">
      <x:c r="A1038" s="71" t="str">
        <x:v>拉脱维亚</x:v>
      </x:c>
      <x:c r="B1038" s="71" t="str">
        <x:v>第3组</x:v>
      </x:c>
      <x:c r="C1038" s="71" t="str">
        <x:v>EUR</x:v>
      </x:c>
      <x:c r="D1038" s="71" t="str">
        <x:v>Plus／月</x:v>
      </x:c>
      <x:c r="E1038" s="73" t="n">
        <x:v>19.99</x:v>
      </x:c>
      <x:c r="F1038" s="71" t="str">
        <x:v>19,99 €</x:v>
      </x:c>
      <x:c r="G1038" s="71" t="str">
        <x:v>lv-LV</x:v>
      </x:c>
    </x:row>
    <x:row r="1039" ht="27" customHeight="1">
      <x:c r="A1039" s="71" t="str">
        <x:v>拉脱维亚</x:v>
      </x:c>
      <x:c r="B1039" s="71" t="str">
        <x:v>第3组</x:v>
      </x:c>
      <x:c r="C1039" s="71" t="str">
        <x:v>EUR</x:v>
      </x:c>
      <x:c r="D1039" s="71" t="str">
        <x:v>新Pro／月</x:v>
      </x:c>
      <x:c r="E1039" s="73" t="n">
        <x:v>14.99</x:v>
      </x:c>
      <x:c r="F1039" s="71" t="str">
        <x:v>14,99 €</x:v>
      </x:c>
      <x:c r="G1039" s="71" t="str">
        <x:v>lv-LV</x:v>
      </x:c>
    </x:row>
    <x:row r="1040" ht="27" customHeight="1">
      <x:c r="A1040" s="71" t="str">
        <x:v>拉脱维亚</x:v>
      </x:c>
      <x:c r="B1040" s="71" t="str">
        <x:v>第3组</x:v>
      </x:c>
      <x:c r="C1040" s="71" t="str">
        <x:v>EUR</x:v>
      </x:c>
      <x:c r="D1040" s="71" t="str">
        <x:v>Basic／年</x:v>
      </x:c>
      <x:c r="E1040" s="73" t="n">
        <x:v>46.99</x:v>
      </x:c>
      <x:c r="F1040" s="71" t="str">
        <x:v>46,99 €</x:v>
      </x:c>
      <x:c r="G1040" s="71" t="str">
        <x:v>lv-LV</x:v>
      </x:c>
    </x:row>
    <x:row r="1041" ht="27" customHeight="1">
      <x:c r="A1041" s="71" t="str">
        <x:v>拉脱维亚</x:v>
      </x:c>
      <x:c r="B1041" s="71" t="str">
        <x:v>第3组</x:v>
      </x:c>
      <x:c r="C1041" s="71" t="str">
        <x:v>EUR</x:v>
      </x:c>
      <x:c r="D1041" s="71" t="str">
        <x:v>Plus／年</x:v>
      </x:c>
      <x:c r="E1041" s="73" t="n">
        <x:v>93.99</x:v>
      </x:c>
      <x:c r="F1041" s="71" t="str">
        <x:v>93,99 €</x:v>
      </x:c>
      <x:c r="G1041" s="71" t="str">
        <x:v>lv-LV</x:v>
      </x:c>
    </x:row>
    <x:row r="1042" ht="27" customHeight="1">
      <x:c r="A1042" s="71" t="str">
        <x:v>拉脱维亚</x:v>
      </x:c>
      <x:c r="B1042" s="71" t="str">
        <x:v>第3组</x:v>
      </x:c>
      <x:c r="C1042" s="71" t="str">
        <x:v>EUR</x:v>
      </x:c>
      <x:c r="D1042" s="71" t="str">
        <x:v>新Pro／年</x:v>
      </x:c>
      <x:c r="E1042" s="73" t="n">
        <x:v>179.88</x:v>
      </x:c>
      <x:c r="F1042" s="71" t="str">
        <x:v>179,88 €</x:v>
      </x:c>
      <x:c r="G1042" s="71" t="str">
        <x:v>lv-LV</x:v>
      </x:c>
    </x:row>
    <x:row r="1043" ht="27" customHeight="1">
      <x:c r="A1043" s="71" t="str">
        <x:v>拉脱维亚</x:v>
      </x:c>
      <x:c r="B1043" s="71" t="str">
        <x:v>第3组</x:v>
      </x:c>
      <x:c r="C1043" s="71" t="str">
        <x:v>EUR</x:v>
      </x:c>
      <x:c r="D1043" s="71" t="str">
        <x:v>作业包／3份</x:v>
      </x:c>
      <x:c r="E1043" s="73" t="n">
        <x:v>4.99</x:v>
      </x:c>
      <x:c r="F1043" s="71" t="str">
        <x:v>4,99 €</x:v>
      </x:c>
      <x:c r="G1043" s="71" t="str">
        <x:v>lv-LV</x:v>
      </x:c>
    </x:row>
    <x:row r="1044" ht="27" customHeight="1">
      <x:c r="A1044" s="71" t="str">
        <x:v>拉脱维亚</x:v>
      </x:c>
      <x:c r="B1044" s="71" t="str">
        <x:v>第3组</x:v>
      </x:c>
      <x:c r="C1044" s="71" t="str">
        <x:v>EUR</x:v>
      </x:c>
      <x:c r="D1044" s="71" t="str">
        <x:v>检测包／5份</x:v>
      </x:c>
      <x:c r="E1044" s="73" t="n">
        <x:v>2.49</x:v>
      </x:c>
      <x:c r="F1044" s="71" t="str">
        <x:v>2,49 €</x:v>
      </x:c>
      <x:c r="G1044" s="71" t="str">
        <x:v>lv-LV</x:v>
      </x:c>
    </x:row>
    <x:row r="1045" ht="27" customHeight="1">
      <x:c r="A1045" s="71" t="str">
        <x:v>拉脱维亚</x:v>
      </x:c>
      <x:c r="B1045" s="71" t="str">
        <x:v>第3组</x:v>
      </x:c>
      <x:c r="C1045" s="71" t="str">
        <x:v>EUR</x:v>
      </x:c>
      <x:c r="D1045" s="71" t="str">
        <x:v>Humanizer包／3份</x:v>
      </x:c>
      <x:c r="E1045" s="73" t="n">
        <x:v>3.49</x:v>
      </x:c>
      <x:c r="F1045" s="71" t="str">
        <x:v>3,49 €</x:v>
      </x:c>
      <x:c r="G1045" s="71" t="str">
        <x:v>lv-LV</x:v>
      </x:c>
    </x:row>
    <x:row r="1046" ht="27" customHeight="1">
      <x:c r="A1046" s="71" t="str">
        <x:v>拉脱维亚</x:v>
      </x:c>
      <x:c r="B1046" s="71" t="str">
        <x:v>第3组</x:v>
      </x:c>
      <x:c r="C1046" s="71" t="str">
        <x:v>EUR</x:v>
      </x:c>
      <x:c r="D1046" s="71" t="str">
        <x:v>Study Pass／月</x:v>
      </x:c>
      <x:c r="E1046" s="73" t="n">
        <x:v>0.53</x:v>
      </x:c>
      <x:c r="F1046" s="71" t="str">
        <x:v>0,53 €</x:v>
      </x:c>
      <x:c r="G1046" s="71" t="str">
        <x:v>lv-LV</x:v>
      </x:c>
    </x:row>
    <x:row r="1047" ht="27" customHeight="1">
      <x:c r="A1047" s="71" t="str">
        <x:v>黎巴嫩</x:v>
      </x:c>
      <x:c r="B1047" s="71" t="str">
        <x:v>第3组</x:v>
      </x:c>
      <x:c r="C1047" s="71" t="str">
        <x:v>LBP</x:v>
      </x:c>
      <x:c r="D1047" s="71" t="str">
        <x:v>Trial／7天</x:v>
      </x:c>
      <x:c r="E1047" s="72" t="n">
        <x:v>93900</x:v>
      </x:c>
      <x:c r="F1047" s="71" t="str">
        <x:v>‏93.900 ل.ل.‏</x:v>
      </x:c>
      <x:c r="G1047" s="71" t="str">
        <x:v>ar-LB</x:v>
      </x:c>
    </x:row>
    <x:row r="1048" ht="27" customHeight="1">
      <x:c r="A1048" s="71" t="str">
        <x:v>黎巴嫩</x:v>
      </x:c>
      <x:c r="B1048" s="71" t="str">
        <x:v>第3组</x:v>
      </x:c>
      <x:c r="C1048" s="71" t="str">
        <x:v>LBP</x:v>
      </x:c>
      <x:c r="D1048" s="71" t="str">
        <x:v>Basic／月</x:v>
      </x:c>
      <x:c r="E1048" s="72" t="n">
        <x:v>629000</x:v>
      </x:c>
      <x:c r="F1048" s="71" t="str">
        <x:v>‏629.000 ل.ل.‏</x:v>
      </x:c>
      <x:c r="G1048" s="71" t="str">
        <x:v>ar-LB</x:v>
      </x:c>
    </x:row>
    <x:row r="1049" ht="27" customHeight="1">
      <x:c r="A1049" s="71" t="str">
        <x:v>黎巴嫩</x:v>
      </x:c>
      <x:c r="B1049" s="71" t="str">
        <x:v>第3组</x:v>
      </x:c>
      <x:c r="C1049" s="71" t="str">
        <x:v>LBP</x:v>
      </x:c>
      <x:c r="D1049" s="71" t="str">
        <x:v>Plus／月</x:v>
      </x:c>
      <x:c r="E1049" s="72" t="n">
        <x:v>1290000</x:v>
      </x:c>
      <x:c r="F1049" s="71" t="str">
        <x:v>‏1.290.000 ل.ل.‏</x:v>
      </x:c>
      <x:c r="G1049" s="71" t="str">
        <x:v>ar-LB</x:v>
      </x:c>
    </x:row>
    <x:row r="1050" ht="27" customHeight="1">
      <x:c r="A1050" s="71" t="str">
        <x:v>黎巴嫩</x:v>
      </x:c>
      <x:c r="B1050" s="71" t="str">
        <x:v>第3组</x:v>
      </x:c>
      <x:c r="C1050" s="71" t="str">
        <x:v>LBP</x:v>
      </x:c>
      <x:c r="D1050" s="71" t="str">
        <x:v>新Pro／月</x:v>
      </x:c>
      <x:c r="E1050" s="72" t="n">
        <x:v>939000</x:v>
      </x:c>
      <x:c r="F1050" s="71" t="str">
        <x:v>‏939.000 ل.ل.‏</x:v>
      </x:c>
      <x:c r="G1050" s="71" t="str">
        <x:v>ar-LB</x:v>
      </x:c>
    </x:row>
    <x:row r="1051" ht="27" customHeight="1">
      <x:c r="A1051" s="71" t="str">
        <x:v>黎巴嫩</x:v>
      </x:c>
      <x:c r="B1051" s="71" t="str">
        <x:v>第3组</x:v>
      </x:c>
      <x:c r="C1051" s="71" t="str">
        <x:v>LBP</x:v>
      </x:c>
      <x:c r="D1051" s="71" t="str">
        <x:v>Basic／年</x:v>
      </x:c>
      <x:c r="E1051" s="72" t="n">
        <x:v>2990000</x:v>
      </x:c>
      <x:c r="F1051" s="71" t="str">
        <x:v>‏2.990.000 ل.ل.‏</x:v>
      </x:c>
      <x:c r="G1051" s="71" t="str">
        <x:v>ar-LB</x:v>
      </x:c>
    </x:row>
    <x:row r="1052" ht="27" customHeight="1">
      <x:c r="A1052" s="71" t="str">
        <x:v>黎巴嫩</x:v>
      </x:c>
      <x:c r="B1052" s="71" t="str">
        <x:v>第3组</x:v>
      </x:c>
      <x:c r="C1052" s="71" t="str">
        <x:v>LBP</x:v>
      </x:c>
      <x:c r="D1052" s="71" t="str">
        <x:v>Plus／年</x:v>
      </x:c>
      <x:c r="E1052" s="72" t="n">
        <x:v>6090000</x:v>
      </x:c>
      <x:c r="F1052" s="71" t="str">
        <x:v>‏6.090.000 ل.ل.‏</x:v>
      </x:c>
      <x:c r="G1052" s="71" t="str">
        <x:v>ar-LB</x:v>
      </x:c>
    </x:row>
    <x:row r="1053" ht="27" customHeight="1">
      <x:c r="A1053" s="71" t="str">
        <x:v>黎巴嫩</x:v>
      </x:c>
      <x:c r="B1053" s="71" t="str">
        <x:v>第3组</x:v>
      </x:c>
      <x:c r="C1053" s="71" t="str">
        <x:v>LBP</x:v>
      </x:c>
      <x:c r="D1053" s="71" t="str">
        <x:v>新Pro／年</x:v>
      </x:c>
      <x:c r="E1053" s="72" t="n">
        <x:v>11268000</x:v>
      </x:c>
      <x:c r="F1053" s="71" t="str">
        <x:v>‏11.268.000 ل.ل.‏</x:v>
      </x:c>
      <x:c r="G1053" s="71" t="str">
        <x:v>ar-LB</x:v>
      </x:c>
    </x:row>
    <x:row r="1054" ht="27" customHeight="1">
      <x:c r="A1054" s="71" t="str">
        <x:v>黎巴嫩</x:v>
      </x:c>
      <x:c r="B1054" s="71" t="str">
        <x:v>第3组</x:v>
      </x:c>
      <x:c r="C1054" s="71" t="str">
        <x:v>LBP</x:v>
      </x:c>
      <x:c r="D1054" s="71" t="str">
        <x:v>作业包／3份</x:v>
      </x:c>
      <x:c r="E1054" s="72" t="n">
        <x:v>309000</x:v>
      </x:c>
      <x:c r="F1054" s="71" t="str">
        <x:v>‏309.000 ل.ل.‏</x:v>
      </x:c>
      <x:c r="G1054" s="71" t="str">
        <x:v>ar-LB</x:v>
      </x:c>
    </x:row>
    <x:row r="1055" ht="27" customHeight="1">
      <x:c r="A1055" s="71" t="str">
        <x:v>黎巴嫩</x:v>
      </x:c>
      <x:c r="B1055" s="71" t="str">
        <x:v>第3组</x:v>
      </x:c>
      <x:c r="C1055" s="71" t="str">
        <x:v>LBP</x:v>
      </x:c>
      <x:c r="D1055" s="71" t="str">
        <x:v>检测包／5份</x:v>
      </x:c>
      <x:c r="E1055" s="72" t="n">
        <x:v>159000</x:v>
      </x:c>
      <x:c r="F1055" s="71" t="str">
        <x:v>‏159.000 ل.ل.‏</x:v>
      </x:c>
      <x:c r="G1055" s="71" t="str">
        <x:v>ar-LB</x:v>
      </x:c>
    </x:row>
    <x:row r="1056" ht="27" customHeight="1">
      <x:c r="A1056" s="71" t="str">
        <x:v>黎巴嫩</x:v>
      </x:c>
      <x:c r="B1056" s="71" t="str">
        <x:v>第3组</x:v>
      </x:c>
      <x:c r="C1056" s="71" t="str">
        <x:v>LBP</x:v>
      </x:c>
      <x:c r="D1056" s="71" t="str">
        <x:v>Humanizer包／3份</x:v>
      </x:c>
      <x:c r="E1056" s="72" t="n">
        <x:v>219000</x:v>
      </x:c>
      <x:c r="F1056" s="71" t="str">
        <x:v>‏219.000 ل.ل.‏</x:v>
      </x:c>
      <x:c r="G1056" s="71" t="str">
        <x:v>ar-LB</x:v>
      </x:c>
    </x:row>
    <x:row r="1057" ht="27" customHeight="1">
      <x:c r="A1057" s="71" t="str">
        <x:v>黎巴嫩</x:v>
      </x:c>
      <x:c r="B1057" s="71" t="str">
        <x:v>第3组</x:v>
      </x:c>
      <x:c r="C1057" s="71" t="str">
        <x:v>LBP</x:v>
      </x:c>
      <x:c r="D1057" s="71" t="str">
        <x:v>Study Pass／月</x:v>
      </x:c>
      <x:c r="E1057" s="72" t="n">
        <x:v>54000</x:v>
      </x:c>
      <x:c r="F1057" s="71" t="str">
        <x:v>‏54.000 ل.ل.‏</x:v>
      </x:c>
      <x:c r="G1057" s="71" t="str">
        <x:v>ar-LB</x:v>
      </x:c>
    </x:row>
    <x:row r="1058" ht="27" customHeight="1">
      <x:c r="A1058" s="71" t="str">
        <x:v>利比里亚</x:v>
      </x:c>
      <x:c r="B1058" s="71" t="str">
        <x:v>第3组</x:v>
      </x:c>
      <x:c r="C1058" s="71" t="str">
        <x:v>LRD</x:v>
      </x:c>
      <x:c r="D1058" s="71" t="str">
        <x:v>Trial／7天</x:v>
      </x:c>
      <x:c r="E1058" s="72" t="n">
        <x:v>99</x:v>
      </x:c>
      <x:c r="F1058" s="71" t="str">
        <x:v>$99</x:v>
      </x:c>
      <x:c r="G1058" s="71" t="str">
        <x:v>en-LR</x:v>
      </x:c>
    </x:row>
    <x:row r="1059" ht="27" customHeight="1">
      <x:c r="A1059" s="71" t="str">
        <x:v>利比里亚</x:v>
      </x:c>
      <x:c r="B1059" s="71" t="str">
        <x:v>第3组</x:v>
      </x:c>
      <x:c r="C1059" s="71" t="str">
        <x:v>LRD</x:v>
      </x:c>
      <x:c r="D1059" s="71" t="str">
        <x:v>Basic／月</x:v>
      </x:c>
      <x:c r="E1059" s="72" t="n">
        <x:v>679</x:v>
      </x:c>
      <x:c r="F1059" s="71" t="str">
        <x:v>$679</x:v>
      </x:c>
      <x:c r="G1059" s="71" t="str">
        <x:v>en-LR</x:v>
      </x:c>
    </x:row>
    <x:row r="1060" ht="27" customHeight="1">
      <x:c r="A1060" s="71" t="str">
        <x:v>利比里亚</x:v>
      </x:c>
      <x:c r="B1060" s="71" t="str">
        <x:v>第3组</x:v>
      </x:c>
      <x:c r="C1060" s="71" t="str">
        <x:v>LRD</x:v>
      </x:c>
      <x:c r="D1060" s="71" t="str">
        <x:v>Plus／月</x:v>
      </x:c>
      <x:c r="E1060" s="72" t="n">
        <x:v>1399</x:v>
      </x:c>
      <x:c r="F1060" s="71" t="str">
        <x:v>$1,399</x:v>
      </x:c>
      <x:c r="G1060" s="71" t="str">
        <x:v>en-LR</x:v>
      </x:c>
    </x:row>
    <x:row r="1061" ht="27" customHeight="1">
      <x:c r="A1061" s="71" t="str">
        <x:v>利比里亚</x:v>
      </x:c>
      <x:c r="B1061" s="71" t="str">
        <x:v>第3组</x:v>
      </x:c>
      <x:c r="C1061" s="71" t="str">
        <x:v>LRD</x:v>
      </x:c>
      <x:c r="D1061" s="71" t="str">
        <x:v>新Pro／月</x:v>
      </x:c>
      <x:c r="E1061" s="72" t="n">
        <x:v>999</x:v>
      </x:c>
      <x:c r="F1061" s="71" t="str">
        <x:v>$999</x:v>
      </x:c>
      <x:c r="G1061" s="71" t="str">
        <x:v>en-LR</x:v>
      </x:c>
    </x:row>
    <x:row r="1062" ht="27" customHeight="1">
      <x:c r="A1062" s="71" t="str">
        <x:v>利比里亚</x:v>
      </x:c>
      <x:c r="B1062" s="71" t="str">
        <x:v>第3组</x:v>
      </x:c>
      <x:c r="C1062" s="71" t="str">
        <x:v>LRD</x:v>
      </x:c>
      <x:c r="D1062" s="71" t="str">
        <x:v>Basic／年</x:v>
      </x:c>
      <x:c r="E1062" s="72" t="n">
        <x:v>3299</x:v>
      </x:c>
      <x:c r="F1062" s="71" t="str">
        <x:v>$3,299</x:v>
      </x:c>
      <x:c r="G1062" s="71" t="str">
        <x:v>en-LR</x:v>
      </x:c>
    </x:row>
    <x:row r="1063" ht="27" customHeight="1">
      <x:c r="A1063" s="71" t="str">
        <x:v>利比里亚</x:v>
      </x:c>
      <x:c r="B1063" s="71" t="str">
        <x:v>第3组</x:v>
      </x:c>
      <x:c r="C1063" s="71" t="str">
        <x:v>LRD</x:v>
      </x:c>
      <x:c r="D1063" s="71" t="str">
        <x:v>Plus／年</x:v>
      </x:c>
      <x:c r="E1063" s="72" t="n">
        <x:v>6599</x:v>
      </x:c>
      <x:c r="F1063" s="71" t="str">
        <x:v>$6,599</x:v>
      </x:c>
      <x:c r="G1063" s="71" t="str">
        <x:v>en-LR</x:v>
      </x:c>
    </x:row>
    <x:row r="1064" ht="27" customHeight="1">
      <x:c r="A1064" s="71" t="str">
        <x:v>利比里亚</x:v>
      </x:c>
      <x:c r="B1064" s="71" t="str">
        <x:v>第3组</x:v>
      </x:c>
      <x:c r="C1064" s="71" t="str">
        <x:v>LRD</x:v>
      </x:c>
      <x:c r="D1064" s="71" t="str">
        <x:v>新Pro／年</x:v>
      </x:c>
      <x:c r="E1064" s="72" t="n">
        <x:v>11988</x:v>
      </x:c>
      <x:c r="F1064" s="71" t="str">
        <x:v>$11,988</x:v>
      </x:c>
      <x:c r="G1064" s="71" t="str">
        <x:v>en-LR</x:v>
      </x:c>
    </x:row>
    <x:row r="1065" ht="27" customHeight="1">
      <x:c r="A1065" s="71" t="str">
        <x:v>利比里亚</x:v>
      </x:c>
      <x:c r="B1065" s="71" t="str">
        <x:v>第3组</x:v>
      </x:c>
      <x:c r="C1065" s="71" t="str">
        <x:v>LRD</x:v>
      </x:c>
      <x:c r="D1065" s="71" t="str">
        <x:v>作业包／3份</x:v>
      </x:c>
      <x:c r="E1065" s="72" t="n">
        <x:v>339</x:v>
      </x:c>
      <x:c r="F1065" s="71" t="str">
        <x:v>$339</x:v>
      </x:c>
      <x:c r="G1065" s="71" t="str">
        <x:v>en-LR</x:v>
      </x:c>
    </x:row>
    <x:row r="1066" ht="27" customHeight="1">
      <x:c r="A1066" s="71" t="str">
        <x:v>利比里亚</x:v>
      </x:c>
      <x:c r="B1066" s="71" t="str">
        <x:v>第3组</x:v>
      </x:c>
      <x:c r="C1066" s="71" t="str">
        <x:v>LRD</x:v>
      </x:c>
      <x:c r="D1066" s="71" t="str">
        <x:v>检测包／5份</x:v>
      </x:c>
      <x:c r="E1066" s="72" t="n">
        <x:v>169</x:v>
      </x:c>
      <x:c r="F1066" s="71" t="str">
        <x:v>$169</x:v>
      </x:c>
      <x:c r="G1066" s="71" t="str">
        <x:v>en-LR</x:v>
      </x:c>
    </x:row>
    <x:row r="1067" ht="27" customHeight="1">
      <x:c r="A1067" s="71" t="str">
        <x:v>利比里亚</x:v>
      </x:c>
      <x:c r="B1067" s="71" t="str">
        <x:v>第3组</x:v>
      </x:c>
      <x:c r="C1067" s="71" t="str">
        <x:v>LRD</x:v>
      </x:c>
      <x:c r="D1067" s="71" t="str">
        <x:v>Humanizer包／3份</x:v>
      </x:c>
      <x:c r="E1067" s="72" t="n">
        <x:v>239</x:v>
      </x:c>
      <x:c r="F1067" s="71" t="str">
        <x:v>$239</x:v>
      </x:c>
      <x:c r="G1067" s="71" t="str">
        <x:v>en-LR</x:v>
      </x:c>
    </x:row>
    <x:row r="1068" ht="27" customHeight="1">
      <x:c r="A1068" s="71" t="str">
        <x:v>利比里亚</x:v>
      </x:c>
      <x:c r="B1068" s="71" t="str">
        <x:v>第3组</x:v>
      </x:c>
      <x:c r="C1068" s="71" t="str">
        <x:v>LRD</x:v>
      </x:c>
      <x:c r="D1068" s="71" t="str">
        <x:v>Study Pass／月</x:v>
      </x:c>
      <x:c r="E1068" s="72" t="n">
        <x:v>110</x:v>
      </x:c>
      <x:c r="F1068" s="71" t="str">
        <x:v>$110</x:v>
      </x:c>
      <x:c r="G1068" s="71" t="str">
        <x:v>en-LR</x:v>
      </x:c>
    </x:row>
    <x:row r="1069" ht="27" customHeight="1">
      <x:c r="A1069" s="71" t="str">
        <x:v>卢森堡</x:v>
      </x:c>
      <x:c r="B1069" s="71" t="str">
        <x:v>第3组</x:v>
      </x:c>
      <x:c r="C1069" s="71" t="str">
        <x:v>EUR</x:v>
      </x:c>
      <x:c r="D1069" s="71" t="str">
        <x:v>Trial／7天</x:v>
      </x:c>
      <x:c r="E1069" s="73" t="n">
        <x:v>2.49</x:v>
      </x:c>
      <x:c r="F1069" s="71" t="str">
        <x:v>2,49 €</x:v>
      </x:c>
      <x:c r="G1069" s="71" t="str">
        <x:v>fr-LU</x:v>
      </x:c>
    </x:row>
    <x:row r="1070" ht="27" customHeight="1">
      <x:c r="A1070" s="71" t="str">
        <x:v>卢森堡</x:v>
      </x:c>
      <x:c r="B1070" s="71" t="str">
        <x:v>第3组</x:v>
      </x:c>
      <x:c r="C1070" s="71" t="str">
        <x:v>EUR</x:v>
      </x:c>
      <x:c r="D1070" s="71" t="str">
        <x:v>Basic／月</x:v>
      </x:c>
      <x:c r="E1070" s="73" t="n">
        <x:v>16.99</x:v>
      </x:c>
      <x:c r="F1070" s="71" t="str">
        <x:v>16,99 €</x:v>
      </x:c>
      <x:c r="G1070" s="71" t="str">
        <x:v>fr-LU</x:v>
      </x:c>
    </x:row>
    <x:row r="1071" ht="27" customHeight="1">
      <x:c r="A1071" s="71" t="str">
        <x:v>卢森堡</x:v>
      </x:c>
      <x:c r="B1071" s="71" t="str">
        <x:v>第3组</x:v>
      </x:c>
      <x:c r="C1071" s="71" t="str">
        <x:v>EUR</x:v>
      </x:c>
      <x:c r="D1071" s="71" t="str">
        <x:v>Plus／月</x:v>
      </x:c>
      <x:c r="E1071" s="73" t="n">
        <x:v>33.99</x:v>
      </x:c>
      <x:c r="F1071" s="71" t="str">
        <x:v>33,99 €</x:v>
      </x:c>
      <x:c r="G1071" s="71" t="str">
        <x:v>fr-LU</x:v>
      </x:c>
    </x:row>
    <x:row r="1072" ht="27" customHeight="1">
      <x:c r="A1072" s="71" t="str">
        <x:v>卢森堡</x:v>
      </x:c>
      <x:c r="B1072" s="71" t="str">
        <x:v>第3组</x:v>
      </x:c>
      <x:c r="C1072" s="71" t="str">
        <x:v>EUR</x:v>
      </x:c>
      <x:c r="D1072" s="71" t="str">
        <x:v>新Pro／月</x:v>
      </x:c>
      <x:c r="E1072" s="73" t="n">
        <x:v>24.99</x:v>
      </x:c>
      <x:c r="F1072" s="71" t="str">
        <x:v>24,99 €</x:v>
      </x:c>
      <x:c r="G1072" s="71" t="str">
        <x:v>fr-LU</x:v>
      </x:c>
    </x:row>
    <x:row r="1073" ht="27" customHeight="1">
      <x:c r="A1073" s="71" t="str">
        <x:v>卢森堡</x:v>
      </x:c>
      <x:c r="B1073" s="71" t="str">
        <x:v>第3组</x:v>
      </x:c>
      <x:c r="C1073" s="71" t="str">
        <x:v>EUR</x:v>
      </x:c>
      <x:c r="D1073" s="71" t="str">
        <x:v>Basic／年</x:v>
      </x:c>
      <x:c r="E1073" s="73" t="n">
        <x:v>80.99</x:v>
      </x:c>
      <x:c r="F1073" s="71" t="str">
        <x:v>80,99 €</x:v>
      </x:c>
      <x:c r="G1073" s="71" t="str">
        <x:v>fr-LU</x:v>
      </x:c>
    </x:row>
    <x:row r="1074" ht="27" customHeight="1">
      <x:c r="A1074" s="71" t="str">
        <x:v>卢森堡</x:v>
      </x:c>
      <x:c r="B1074" s="71" t="str">
        <x:v>第3组</x:v>
      </x:c>
      <x:c r="C1074" s="71" t="str">
        <x:v>EUR</x:v>
      </x:c>
      <x:c r="D1074" s="71" t="str">
        <x:v>Plus／年</x:v>
      </x:c>
      <x:c r="E1074" s="73" t="n">
        <x:v>161.99</x:v>
      </x:c>
      <x:c r="F1074" s="71" t="str">
        <x:v>161,99 €</x:v>
      </x:c>
      <x:c r="G1074" s="71" t="str">
        <x:v>fr-LU</x:v>
      </x:c>
    </x:row>
    <x:row r="1075" ht="27" customHeight="1">
      <x:c r="A1075" s="71" t="str">
        <x:v>卢森堡</x:v>
      </x:c>
      <x:c r="B1075" s="71" t="str">
        <x:v>第3组</x:v>
      </x:c>
      <x:c r="C1075" s="71" t="str">
        <x:v>EUR</x:v>
      </x:c>
      <x:c r="D1075" s="71" t="str">
        <x:v>新Pro／年</x:v>
      </x:c>
      <x:c r="E1075" s="73" t="n">
        <x:v>299.88</x:v>
      </x:c>
      <x:c r="F1075" s="71" t="str">
        <x:v>299,88 €</x:v>
      </x:c>
      <x:c r="G1075" s="71" t="str">
        <x:v>fr-LU</x:v>
      </x:c>
    </x:row>
    <x:row r="1076" ht="27" customHeight="1">
      <x:c r="A1076" s="71" t="str">
        <x:v>卢森堡</x:v>
      </x:c>
      <x:c r="B1076" s="71" t="str">
        <x:v>第3组</x:v>
      </x:c>
      <x:c r="C1076" s="71" t="str">
        <x:v>EUR</x:v>
      </x:c>
      <x:c r="D1076" s="71" t="str">
        <x:v>作业包／3份</x:v>
      </x:c>
      <x:c r="E1076" s="73" t="n">
        <x:v>8.49</x:v>
      </x:c>
      <x:c r="F1076" s="71" t="str">
        <x:v>8,49 €</x:v>
      </x:c>
      <x:c r="G1076" s="71" t="str">
        <x:v>fr-LU</x:v>
      </x:c>
    </x:row>
    <x:row r="1077" ht="27" customHeight="1">
      <x:c r="A1077" s="71" t="str">
        <x:v>卢森堡</x:v>
      </x:c>
      <x:c r="B1077" s="71" t="str">
        <x:v>第3组</x:v>
      </x:c>
      <x:c r="C1077" s="71" t="str">
        <x:v>EUR</x:v>
      </x:c>
      <x:c r="D1077" s="71" t="str">
        <x:v>检测包／5份</x:v>
      </x:c>
      <x:c r="E1077" s="73" t="n">
        <x:v>3.99</x:v>
      </x:c>
      <x:c r="F1077" s="71" t="str">
        <x:v>3,99 €</x:v>
      </x:c>
      <x:c r="G1077" s="71" t="str">
        <x:v>fr-LU</x:v>
      </x:c>
    </x:row>
    <x:row r="1078" ht="27" customHeight="1">
      <x:c r="A1078" s="71" t="str">
        <x:v>卢森堡</x:v>
      </x:c>
      <x:c r="B1078" s="71" t="str">
        <x:v>第3组</x:v>
      </x:c>
      <x:c r="C1078" s="71" t="str">
        <x:v>EUR</x:v>
      </x:c>
      <x:c r="D1078" s="71" t="str">
        <x:v>Humanizer包／3份</x:v>
      </x:c>
      <x:c r="E1078" s="73" t="n">
        <x:v>5.99</x:v>
      </x:c>
      <x:c r="F1078" s="71" t="str">
        <x:v>5,99 €</x:v>
      </x:c>
      <x:c r="G1078" s="71" t="str">
        <x:v>fr-LU</x:v>
      </x:c>
    </x:row>
    <x:row r="1079" ht="27" customHeight="1">
      <x:c r="A1079" s="71" t="str">
        <x:v>卢森堡</x:v>
      </x:c>
      <x:c r="B1079" s="71" t="str">
        <x:v>第3组</x:v>
      </x:c>
      <x:c r="C1079" s="71" t="str">
        <x:v>EUR</x:v>
      </x:c>
      <x:c r="D1079" s="71" t="str">
        <x:v>Study Pass／月</x:v>
      </x:c>
      <x:c r="E1079" s="73" t="n">
        <x:v>0.83</x:v>
      </x:c>
      <x:c r="F1079" s="71" t="str">
        <x:v>0,83 €</x:v>
      </x:c>
      <x:c r="G1079" s="71" t="str">
        <x:v>fr-LU</x:v>
      </x:c>
    </x:row>
    <x:row r="1080" ht="27" customHeight="1">
      <x:c r="A1080" s="71" t="str">
        <x:v>马尔代夫</x:v>
      </x:c>
      <x:c r="B1080" s="71" t="str">
        <x:v>第3组</x:v>
      </x:c>
      <x:c r="C1080" s="71" t="str">
        <x:v>MVR</x:v>
      </x:c>
      <x:c r="D1080" s="71" t="str">
        <x:v>Trial／7天</x:v>
      </x:c>
      <x:c r="E1080" s="73" t="n">
        <x:v>20.99</x:v>
      </x:c>
      <x:c r="F1080" s="71" t="str">
        <x:v>Rf 20.99</x:v>
      </x:c>
      <x:c r="G1080" s="71" t="str">
        <x:v>en-MV</x:v>
      </x:c>
    </x:row>
    <x:row r="1081" ht="27" customHeight="1">
      <x:c r="A1081" s="71" t="str">
        <x:v>马尔代夫</x:v>
      </x:c>
      <x:c r="B1081" s="71" t="str">
        <x:v>第3组</x:v>
      </x:c>
      <x:c r="C1081" s="71" t="str">
        <x:v>MVR</x:v>
      </x:c>
      <x:c r="D1081" s="71" t="str">
        <x:v>Basic／月</x:v>
      </x:c>
      <x:c r="E1081" s="73" t="n">
        <x:v>138.99</x:v>
      </x:c>
      <x:c r="F1081" s="71" t="str">
        <x:v>Rf 138.99</x:v>
      </x:c>
      <x:c r="G1081" s="71" t="str">
        <x:v>en-MV</x:v>
      </x:c>
    </x:row>
    <x:row r="1082" ht="27" customHeight="1">
      <x:c r="A1082" s="71" t="str">
        <x:v>马尔代夫</x:v>
      </x:c>
      <x:c r="B1082" s="71" t="str">
        <x:v>第3组</x:v>
      </x:c>
      <x:c r="C1082" s="71" t="str">
        <x:v>MVR</x:v>
      </x:c>
      <x:c r="D1082" s="71" t="str">
        <x:v>Plus／月</x:v>
      </x:c>
      <x:c r="E1082" s="73" t="n">
        <x:v>277.99</x:v>
      </x:c>
      <x:c r="F1082" s="71" t="str">
        <x:v>Rf 277.99</x:v>
      </x:c>
      <x:c r="G1082" s="71" t="str">
        <x:v>en-MV</x:v>
      </x:c>
    </x:row>
    <x:row r="1083" ht="27" customHeight="1">
      <x:c r="A1083" s="71" t="str">
        <x:v>马尔代夫</x:v>
      </x:c>
      <x:c r="B1083" s="71" t="str">
        <x:v>第3组</x:v>
      </x:c>
      <x:c r="C1083" s="71" t="str">
        <x:v>MVR</x:v>
      </x:c>
      <x:c r="D1083" s="71" t="str">
        <x:v>新Pro／月</x:v>
      </x:c>
      <x:c r="E1083" s="73" t="n">
        <x:v>208.99</x:v>
      </x:c>
      <x:c r="F1083" s="71" t="str">
        <x:v>Rf 208.99</x:v>
      </x:c>
      <x:c r="G1083" s="71" t="str">
        <x:v>en-MV</x:v>
      </x:c>
    </x:row>
    <x:row r="1084" ht="27" customHeight="1">
      <x:c r="A1084" s="71" t="str">
        <x:v>马尔代夫</x:v>
      </x:c>
      <x:c r="B1084" s="71" t="str">
        <x:v>第3组</x:v>
      </x:c>
      <x:c r="C1084" s="71" t="str">
        <x:v>MVR</x:v>
      </x:c>
      <x:c r="D1084" s="71" t="str">
        <x:v>Basic／年</x:v>
      </x:c>
      <x:c r="E1084" s="73" t="n">
        <x:v>666.99</x:v>
      </x:c>
      <x:c r="F1084" s="71" t="str">
        <x:v>Rf 666.99</x:v>
      </x:c>
      <x:c r="G1084" s="71" t="str">
        <x:v>en-MV</x:v>
      </x:c>
    </x:row>
    <x:row r="1085" ht="27" customHeight="1">
      <x:c r="A1085" s="71" t="str">
        <x:v>马尔代夫</x:v>
      </x:c>
      <x:c r="B1085" s="71" t="str">
        <x:v>第3组</x:v>
      </x:c>
      <x:c r="C1085" s="71" t="str">
        <x:v>MVR</x:v>
      </x:c>
      <x:c r="D1085" s="71" t="str">
        <x:v>Plus／年</x:v>
      </x:c>
      <x:c r="E1085" s="73" t="n">
        <x:v>1333.99</x:v>
      </x:c>
      <x:c r="F1085" s="71" t="str">
        <x:v>Rf 1,333.99</x:v>
      </x:c>
      <x:c r="G1085" s="71" t="str">
        <x:v>en-MV</x:v>
      </x:c>
    </x:row>
    <x:row r="1086" ht="27" customHeight="1">
      <x:c r="A1086" s="71" t="str">
        <x:v>马尔代夫</x:v>
      </x:c>
      <x:c r="B1086" s="71" t="str">
        <x:v>第3组</x:v>
      </x:c>
      <x:c r="C1086" s="71" t="str">
        <x:v>MVR</x:v>
      </x:c>
      <x:c r="D1086" s="71" t="str">
        <x:v>新Pro／年</x:v>
      </x:c>
      <x:c r="E1086" s="73" t="n">
        <x:v>2507.88</x:v>
      </x:c>
      <x:c r="F1086" s="71" t="str">
        <x:v>Rf 2,507.88</x:v>
      </x:c>
      <x:c r="G1086" s="71" t="str">
        <x:v>en-MV</x:v>
      </x:c>
    </x:row>
    <x:row r="1087" ht="27" customHeight="1">
      <x:c r="A1087" s="71" t="str">
        <x:v>马尔代夫</x:v>
      </x:c>
      <x:c r="B1087" s="71" t="str">
        <x:v>第3组</x:v>
      </x:c>
      <x:c r="C1087" s="71" t="str">
        <x:v>MVR</x:v>
      </x:c>
      <x:c r="D1087" s="71" t="str">
        <x:v>作业包／3份</x:v>
      </x:c>
      <x:c r="E1087" s="73" t="n">
        <x:v>68.99</x:v>
      </x:c>
      <x:c r="F1087" s="71" t="str">
        <x:v>Rf 68.99</x:v>
      </x:c>
      <x:c r="G1087" s="71" t="str">
        <x:v>en-MV</x:v>
      </x:c>
    </x:row>
    <x:row r="1088" ht="27" customHeight="1">
      <x:c r="A1088" s="71" t="str">
        <x:v>马尔代夫</x:v>
      </x:c>
      <x:c r="B1088" s="71" t="str">
        <x:v>第3组</x:v>
      </x:c>
      <x:c r="C1088" s="71" t="str">
        <x:v>MVR</x:v>
      </x:c>
      <x:c r="D1088" s="71" t="str">
        <x:v>检测包／5份</x:v>
      </x:c>
      <x:c r="E1088" s="73" t="n">
        <x:v>34.99</x:v>
      </x:c>
      <x:c r="F1088" s="71" t="str">
        <x:v>Rf 34.99</x:v>
      </x:c>
      <x:c r="G1088" s="71" t="str">
        <x:v>en-MV</x:v>
      </x:c>
    </x:row>
    <x:row r="1089" ht="27" customHeight="1">
      <x:c r="A1089" s="71" t="str">
        <x:v>马尔代夫</x:v>
      </x:c>
      <x:c r="B1089" s="71" t="str">
        <x:v>第3组</x:v>
      </x:c>
      <x:c r="C1089" s="71" t="str">
        <x:v>MVR</x:v>
      </x:c>
      <x:c r="D1089" s="71" t="str">
        <x:v>Humanizer包／3份</x:v>
      </x:c>
      <x:c r="E1089" s="73" t="n">
        <x:v>48.99</x:v>
      </x:c>
      <x:c r="F1089" s="71" t="str">
        <x:v>Rf 48.99</x:v>
      </x:c>
      <x:c r="G1089" s="71" t="str">
        <x:v>en-MV</x:v>
      </x:c>
    </x:row>
    <x:row r="1090" ht="27" customHeight="1">
      <x:c r="A1090" s="71" t="str">
        <x:v>马尔代夫</x:v>
      </x:c>
      <x:c r="B1090" s="71" t="str">
        <x:v>第3组</x:v>
      </x:c>
      <x:c r="C1090" s="71" t="str">
        <x:v>MVR</x:v>
      </x:c>
      <x:c r="D1090" s="71" t="str">
        <x:v>Study Pass／月</x:v>
      </x:c>
      <x:c r="E1090" s="73" t="n">
        <x:v>9.3</x:v>
      </x:c>
      <x:c r="F1090" s="71" t="str">
        <x:v>Rf 9.30</x:v>
      </x:c>
      <x:c r="G1090" s="71" t="str">
        <x:v>en-MV</x:v>
      </x:c>
    </x:row>
    <x:row r="1091" ht="27" customHeight="1">
      <x:c r="A1091" s="71" t="str">
        <x:v>摩尔多瓦</x:v>
      </x:c>
      <x:c r="B1091" s="71" t="str">
        <x:v>第3组</x:v>
      </x:c>
      <x:c r="C1091" s="71" t="str">
        <x:v>MDL</x:v>
      </x:c>
      <x:c r="D1091" s="71" t="str">
        <x:v>Trial／7天</x:v>
      </x:c>
      <x:c r="E1091" s="73" t="n">
        <x:v>18.99</x:v>
      </x:c>
      <x:c r="F1091" s="71" t="str">
        <x:v>18,99 L</x:v>
      </x:c>
      <x:c r="G1091" s="71" t="str">
        <x:v>ro-MD</x:v>
      </x:c>
    </x:row>
    <x:row r="1092" ht="27" customHeight="1">
      <x:c r="A1092" s="71" t="str">
        <x:v>摩尔多瓦</x:v>
      </x:c>
      <x:c r="B1092" s="71" t="str">
        <x:v>第3组</x:v>
      </x:c>
      <x:c r="C1092" s="71" t="str">
        <x:v>MDL</x:v>
      </x:c>
      <x:c r="D1092" s="71" t="str">
        <x:v>Basic／月</x:v>
      </x:c>
      <x:c r="E1092" s="73" t="n">
        <x:v>124.99</x:v>
      </x:c>
      <x:c r="F1092" s="71" t="str">
        <x:v>124,99 L</x:v>
      </x:c>
      <x:c r="G1092" s="71" t="str">
        <x:v>ro-MD</x:v>
      </x:c>
    </x:row>
    <x:row r="1093" ht="27" customHeight="1">
      <x:c r="A1093" s="71" t="str">
        <x:v>摩尔多瓦</x:v>
      </x:c>
      <x:c r="B1093" s="71" t="str">
        <x:v>第3组</x:v>
      </x:c>
      <x:c r="C1093" s="71" t="str">
        <x:v>MDL</x:v>
      </x:c>
      <x:c r="D1093" s="71" t="str">
        <x:v>Plus／月</x:v>
      </x:c>
      <x:c r="E1093" s="73" t="n">
        <x:v>250.99</x:v>
      </x:c>
      <x:c r="F1093" s="71" t="str">
        <x:v>250,99 L</x:v>
      </x:c>
      <x:c r="G1093" s="71" t="str">
        <x:v>ro-MD</x:v>
      </x:c>
    </x:row>
    <x:row r="1094" ht="27" customHeight="1">
      <x:c r="A1094" s="71" t="str">
        <x:v>摩尔多瓦</x:v>
      </x:c>
      <x:c r="B1094" s="71" t="str">
        <x:v>第3组</x:v>
      </x:c>
      <x:c r="C1094" s="71" t="str">
        <x:v>MDL</x:v>
      </x:c>
      <x:c r="D1094" s="71" t="str">
        <x:v>新Pro／月</x:v>
      </x:c>
      <x:c r="E1094" s="73" t="n">
        <x:v>187.99</x:v>
      </x:c>
      <x:c r="F1094" s="71" t="str">
        <x:v>187,99 L</x:v>
      </x:c>
      <x:c r="G1094" s="71" t="str">
        <x:v>ro-MD</x:v>
      </x:c>
    </x:row>
    <x:row r="1095" ht="27" customHeight="1">
      <x:c r="A1095" s="71" t="str">
        <x:v>摩尔多瓦</x:v>
      </x:c>
      <x:c r="B1095" s="71" t="str">
        <x:v>第3组</x:v>
      </x:c>
      <x:c r="C1095" s="71" t="str">
        <x:v>MDL</x:v>
      </x:c>
      <x:c r="D1095" s="71" t="str">
        <x:v>Basic／年</x:v>
      </x:c>
      <x:c r="E1095" s="73" t="n">
        <x:v>600.99</x:v>
      </x:c>
      <x:c r="F1095" s="71" t="str">
        <x:v>600,99 L</x:v>
      </x:c>
      <x:c r="G1095" s="71" t="str">
        <x:v>ro-MD</x:v>
      </x:c>
    </x:row>
    <x:row r="1096" ht="27" customHeight="1">
      <x:c r="A1096" s="71" t="str">
        <x:v>摩尔多瓦</x:v>
      </x:c>
      <x:c r="B1096" s="71" t="str">
        <x:v>第3组</x:v>
      </x:c>
      <x:c r="C1096" s="71" t="str">
        <x:v>MDL</x:v>
      </x:c>
      <x:c r="D1096" s="71" t="str">
        <x:v>Plus／年</x:v>
      </x:c>
      <x:c r="E1096" s="73" t="n">
        <x:v>1202.99</x:v>
      </x:c>
      <x:c r="F1096" s="71" t="str">
        <x:v>1.202,99 L</x:v>
      </x:c>
      <x:c r="G1096" s="71" t="str">
        <x:v>ro-MD</x:v>
      </x:c>
    </x:row>
    <x:row r="1097" ht="27" customHeight="1">
      <x:c r="A1097" s="71" t="str">
        <x:v>摩尔多瓦</x:v>
      </x:c>
      <x:c r="B1097" s="71" t="str">
        <x:v>第3组</x:v>
      </x:c>
      <x:c r="C1097" s="71" t="str">
        <x:v>MDL</x:v>
      </x:c>
      <x:c r="D1097" s="71" t="str">
        <x:v>新Pro／年</x:v>
      </x:c>
      <x:c r="E1097" s="73" t="n">
        <x:v>2255.88</x:v>
      </x:c>
      <x:c r="F1097" s="71" t="str">
        <x:v>2.255,88 L</x:v>
      </x:c>
      <x:c r="G1097" s="71" t="str">
        <x:v>ro-MD</x:v>
      </x:c>
    </x:row>
    <x:row r="1098" ht="27" customHeight="1">
      <x:c r="A1098" s="71" t="str">
        <x:v>摩尔多瓦</x:v>
      </x:c>
      <x:c r="B1098" s="71" t="str">
        <x:v>第3组</x:v>
      </x:c>
      <x:c r="C1098" s="71" t="str">
        <x:v>MDL</x:v>
      </x:c>
      <x:c r="D1098" s="71" t="str">
        <x:v>作业包／3份</x:v>
      </x:c>
      <x:c r="E1098" s="73" t="n">
        <x:v>62.99</x:v>
      </x:c>
      <x:c r="F1098" s="71" t="str">
        <x:v>62,99 L</x:v>
      </x:c>
      <x:c r="G1098" s="71" t="str">
        <x:v>ro-MD</x:v>
      </x:c>
    </x:row>
    <x:row r="1099" ht="27" customHeight="1">
      <x:c r="A1099" s="71" t="str">
        <x:v>摩尔多瓦</x:v>
      </x:c>
      <x:c r="B1099" s="71" t="str">
        <x:v>第3组</x:v>
      </x:c>
      <x:c r="C1099" s="71" t="str">
        <x:v>MDL</x:v>
      </x:c>
      <x:c r="D1099" s="71" t="str">
        <x:v>检测包／5份</x:v>
      </x:c>
      <x:c r="E1099" s="73" t="n">
        <x:v>30.99</x:v>
      </x:c>
      <x:c r="F1099" s="71" t="str">
        <x:v>30,99 L</x:v>
      </x:c>
      <x:c r="G1099" s="71" t="str">
        <x:v>ro-MD</x:v>
      </x:c>
    </x:row>
    <x:row r="1100" ht="27" customHeight="1">
      <x:c r="A1100" s="71" t="str">
        <x:v>摩尔多瓦</x:v>
      </x:c>
      <x:c r="B1100" s="71" t="str">
        <x:v>第3组</x:v>
      </x:c>
      <x:c r="C1100" s="71" t="str">
        <x:v>MDL</x:v>
      </x:c>
      <x:c r="D1100" s="71" t="str">
        <x:v>Humanizer包／3份</x:v>
      </x:c>
      <x:c r="E1100" s="73" t="n">
        <x:v>43.99</x:v>
      </x:c>
      <x:c r="F1100" s="71" t="str">
        <x:v>43,99 L</x:v>
      </x:c>
      <x:c r="G1100" s="71" t="str">
        <x:v>ro-MD</x:v>
      </x:c>
    </x:row>
    <x:row r="1101" ht="27" customHeight="1">
      <x:c r="A1101" s="71" t="str">
        <x:v>摩尔多瓦</x:v>
      </x:c>
      <x:c r="B1101" s="71" t="str">
        <x:v>第3组</x:v>
      </x:c>
      <x:c r="C1101" s="71" t="str">
        <x:v>MDL</x:v>
      </x:c>
      <x:c r="D1101" s="71" t="str">
        <x:v>Study Pass／月</x:v>
      </x:c>
      <x:c r="E1101" s="73" t="n">
        <x:v>11</x:v>
      </x:c>
      <x:c r="F1101" s="71" t="str">
        <x:v>11,00 L</x:v>
      </x:c>
      <x:c r="G1101" s="71" t="str">
        <x:v>ro-MD</x:v>
      </x:c>
    </x:row>
    <x:row r="1102" ht="27" customHeight="1">
      <x:c r="A1102" s="71" t="str">
        <x:v>蒙古</x:v>
      </x:c>
      <x:c r="B1102" s="71" t="str">
        <x:v>第3组</x:v>
      </x:c>
      <x:c r="C1102" s="71" t="str">
        <x:v>MNT</x:v>
      </x:c>
      <x:c r="D1102" s="71" t="str">
        <x:v>Trial／7天</x:v>
      </x:c>
      <x:c r="E1102" s="72" t="n">
        <x:v>3199</x:v>
      </x:c>
      <x:c r="F1102" s="71" t="str">
        <x:v>₮ 3,199</x:v>
      </x:c>
      <x:c r="G1102" s="71" t="str">
        <x:v>mn-MN</x:v>
      </x:c>
    </x:row>
    <x:row r="1103" ht="27" customHeight="1">
      <x:c r="A1103" s="71" t="str">
        <x:v>蒙古</x:v>
      </x:c>
      <x:c r="B1103" s="71" t="str">
        <x:v>第3组</x:v>
      </x:c>
      <x:c r="C1103" s="71" t="str">
        <x:v>MNT</x:v>
      </x:c>
      <x:c r="D1103" s="71" t="str">
        <x:v>Basic／月</x:v>
      </x:c>
      <x:c r="E1103" s="72" t="n">
        <x:v>21900</x:v>
      </x:c>
      <x:c r="F1103" s="71" t="str">
        <x:v>₮ 21,900</x:v>
      </x:c>
      <x:c r="G1103" s="71" t="str">
        <x:v>mn-MN</x:v>
      </x:c>
    </x:row>
    <x:row r="1104" ht="27" customHeight="1">
      <x:c r="A1104" s="71" t="str">
        <x:v>蒙古</x:v>
      </x:c>
      <x:c r="B1104" s="71" t="str">
        <x:v>第3组</x:v>
      </x:c>
      <x:c r="C1104" s="71" t="str">
        <x:v>MNT</x:v>
      </x:c>
      <x:c r="D1104" s="71" t="str">
        <x:v>Plus／月</x:v>
      </x:c>
      <x:c r="E1104" s="72" t="n">
        <x:v>42900</x:v>
      </x:c>
      <x:c r="F1104" s="71" t="str">
        <x:v>₮ 42,900</x:v>
      </x:c>
      <x:c r="G1104" s="71" t="str">
        <x:v>mn-MN</x:v>
      </x:c>
    </x:row>
    <x:row r="1105" ht="27" customHeight="1">
      <x:c r="A1105" s="71" t="str">
        <x:v>蒙古</x:v>
      </x:c>
      <x:c r="B1105" s="71" t="str">
        <x:v>第3组</x:v>
      </x:c>
      <x:c r="C1105" s="71" t="str">
        <x:v>MNT</x:v>
      </x:c>
      <x:c r="D1105" s="71" t="str">
        <x:v>新Pro／月</x:v>
      </x:c>
      <x:c r="E1105" s="72" t="n">
        <x:v>32900</x:v>
      </x:c>
      <x:c r="F1105" s="71" t="str">
        <x:v>₮ 32,900</x:v>
      </x:c>
      <x:c r="G1105" s="71" t="str">
        <x:v>mn-MN</x:v>
      </x:c>
    </x:row>
    <x:row r="1106" ht="27" customHeight="1">
      <x:c r="A1106" s="71" t="str">
        <x:v>蒙古</x:v>
      </x:c>
      <x:c r="B1106" s="71" t="str">
        <x:v>第3组</x:v>
      </x:c>
      <x:c r="C1106" s="71" t="str">
        <x:v>MNT</x:v>
      </x:c>
      <x:c r="D1106" s="71" t="str">
        <x:v>Basic／年</x:v>
      </x:c>
      <x:c r="E1106" s="72" t="n">
        <x:v>103900</x:v>
      </x:c>
      <x:c r="F1106" s="71" t="str">
        <x:v>₮ 103,900</x:v>
      </x:c>
      <x:c r="G1106" s="71" t="str">
        <x:v>mn-MN</x:v>
      </x:c>
    </x:row>
    <x:row r="1107" ht="27" customHeight="1">
      <x:c r="A1107" s="71" t="str">
        <x:v>蒙古</x:v>
      </x:c>
      <x:c r="B1107" s="71" t="str">
        <x:v>第3组</x:v>
      </x:c>
      <x:c r="C1107" s="71" t="str">
        <x:v>MNT</x:v>
      </x:c>
      <x:c r="D1107" s="71" t="str">
        <x:v>Plus／年</x:v>
      </x:c>
      <x:c r="E1107" s="72" t="n">
        <x:v>209000</x:v>
      </x:c>
      <x:c r="F1107" s="71" t="str">
        <x:v>₮ 209,000</x:v>
      </x:c>
      <x:c r="G1107" s="71" t="str">
        <x:v>mn-MN</x:v>
      </x:c>
    </x:row>
    <x:row r="1108" ht="27" customHeight="1">
      <x:c r="A1108" s="71" t="str">
        <x:v>蒙古</x:v>
      </x:c>
      <x:c r="B1108" s="71" t="str">
        <x:v>第3组</x:v>
      </x:c>
      <x:c r="C1108" s="71" t="str">
        <x:v>MNT</x:v>
      </x:c>
      <x:c r="D1108" s="71" t="str">
        <x:v>新Pro／年</x:v>
      </x:c>
      <x:c r="E1108" s="72" t="n">
        <x:v>394800</x:v>
      </x:c>
      <x:c r="F1108" s="71" t="str">
        <x:v>₮ 394,800</x:v>
      </x:c>
      <x:c r="G1108" s="71" t="str">
        <x:v>mn-MN</x:v>
      </x:c>
    </x:row>
    <x:row r="1109" ht="27" customHeight="1">
      <x:c r="A1109" s="71" t="str">
        <x:v>蒙古</x:v>
      </x:c>
      <x:c r="B1109" s="71" t="str">
        <x:v>第3组</x:v>
      </x:c>
      <x:c r="C1109" s="71" t="str">
        <x:v>MNT</x:v>
      </x:c>
      <x:c r="D1109" s="71" t="str">
        <x:v>作业包／3份</x:v>
      </x:c>
      <x:c r="E1109" s="72" t="n">
        <x:v>10900</x:v>
      </x:c>
      <x:c r="F1109" s="71" t="str">
        <x:v>₮ 10,900</x:v>
      </x:c>
      <x:c r="G1109" s="71" t="str">
        <x:v>mn-MN</x:v>
      </x:c>
    </x:row>
    <x:row r="1110" ht="27" customHeight="1">
      <x:c r="A1110" s="71" t="str">
        <x:v>蒙古</x:v>
      </x:c>
      <x:c r="B1110" s="71" t="str">
        <x:v>第3组</x:v>
      </x:c>
      <x:c r="C1110" s="71" t="str">
        <x:v>MNT</x:v>
      </x:c>
      <x:c r="D1110" s="71" t="str">
        <x:v>检测包／5份</x:v>
      </x:c>
      <x:c r="E1110" s="72" t="n">
        <x:v>5399</x:v>
      </x:c>
      <x:c r="F1110" s="71" t="str">
        <x:v>₮ 5,399</x:v>
      </x:c>
      <x:c r="G1110" s="71" t="str">
        <x:v>mn-MN</x:v>
      </x:c>
    </x:row>
    <x:row r="1111" ht="27" customHeight="1">
      <x:c r="A1111" s="71" t="str">
        <x:v>蒙古</x:v>
      </x:c>
      <x:c r="B1111" s="71" t="str">
        <x:v>第3组</x:v>
      </x:c>
      <x:c r="C1111" s="71" t="str">
        <x:v>MNT</x:v>
      </x:c>
      <x:c r="D1111" s="71" t="str">
        <x:v>Humanizer包／3份</x:v>
      </x:c>
      <x:c r="E1111" s="72" t="n">
        <x:v>7599</x:v>
      </x:c>
      <x:c r="F1111" s="71" t="str">
        <x:v>₮ 7,599</x:v>
      </x:c>
      <x:c r="G1111" s="71" t="str">
        <x:v>mn-MN</x:v>
      </x:c>
    </x:row>
    <x:row r="1112" ht="27" customHeight="1">
      <x:c r="A1112" s="71" t="str">
        <x:v>蒙古</x:v>
      </x:c>
      <x:c r="B1112" s="71" t="str">
        <x:v>第3组</x:v>
      </x:c>
      <x:c r="C1112" s="71" t="str">
        <x:v>MNT</x:v>
      </x:c>
      <x:c r="D1112" s="71" t="str">
        <x:v>Study Pass／月</x:v>
      </x:c>
      <x:c r="E1112" s="72" t="n">
        <x:v>2200</x:v>
      </x:c>
      <x:c r="F1112" s="71" t="str">
        <x:v>₮ 2,200</x:v>
      </x:c>
      <x:c r="G1112" s="71" t="str">
        <x:v>mn-MN</x:v>
      </x:c>
    </x:row>
    <x:row r="1113" ht="27" customHeight="1">
      <x:c r="A1113" s="71" t="str">
        <x:v>黑山</x:v>
      </x:c>
      <x:c r="B1113" s="71" t="str">
        <x:v>第3组</x:v>
      </x:c>
      <x:c r="C1113" s="71" t="str">
        <x:v>EUR</x:v>
      </x:c>
      <x:c r="D1113" s="71" t="str">
        <x:v>Trial／7天</x:v>
      </x:c>
      <x:c r="E1113" s="73" t="n">
        <x:v>0.99</x:v>
      </x:c>
      <x:c r="F1113" s="71" t="str">
        <x:v>0,99 €</x:v>
      </x:c>
      <x:c r="G1113" s="71" t="str">
        <x:v>sr-Latn-ME</x:v>
      </x:c>
    </x:row>
    <x:row r="1114" ht="27" customHeight="1">
      <x:c r="A1114" s="71" t="str">
        <x:v>黑山</x:v>
      </x:c>
      <x:c r="B1114" s="71" t="str">
        <x:v>第3组</x:v>
      </x:c>
      <x:c r="C1114" s="71" t="str">
        <x:v>EUR</x:v>
      </x:c>
      <x:c r="D1114" s="71" t="str">
        <x:v>Basic／月</x:v>
      </x:c>
      <x:c r="E1114" s="73" t="n">
        <x:v>6.99</x:v>
      </x:c>
      <x:c r="F1114" s="71" t="str">
        <x:v>6,99 €</x:v>
      </x:c>
      <x:c r="G1114" s="71" t="str">
        <x:v>sr-Latn-ME</x:v>
      </x:c>
    </x:row>
    <x:row r="1115" ht="27" customHeight="1">
      <x:c r="A1115" s="71" t="str">
        <x:v>黑山</x:v>
      </x:c>
      <x:c r="B1115" s="71" t="str">
        <x:v>第3组</x:v>
      </x:c>
      <x:c r="C1115" s="71" t="str">
        <x:v>EUR</x:v>
      </x:c>
      <x:c r="D1115" s="71" t="str">
        <x:v>Plus／月</x:v>
      </x:c>
      <x:c r="E1115" s="73" t="n">
        <x:v>13.99</x:v>
      </x:c>
      <x:c r="F1115" s="71" t="str">
        <x:v>13,99 €</x:v>
      </x:c>
      <x:c r="G1115" s="71" t="str">
        <x:v>sr-Latn-ME</x:v>
      </x:c>
    </x:row>
    <x:row r="1116" ht="27" customHeight="1">
      <x:c r="A1116" s="71" t="str">
        <x:v>黑山</x:v>
      </x:c>
      <x:c r="B1116" s="71" t="str">
        <x:v>第3组</x:v>
      </x:c>
      <x:c r="C1116" s="71" t="str">
        <x:v>EUR</x:v>
      </x:c>
      <x:c r="D1116" s="71" t="str">
        <x:v>新Pro／月</x:v>
      </x:c>
      <x:c r="E1116" s="73" t="n">
        <x:v>10.99</x:v>
      </x:c>
      <x:c r="F1116" s="71" t="str">
        <x:v>10,99 €</x:v>
      </x:c>
      <x:c r="G1116" s="71" t="str">
        <x:v>sr-Latn-ME</x:v>
      </x:c>
    </x:row>
    <x:row r="1117" ht="27" customHeight="1">
      <x:c r="A1117" s="71" t="str">
        <x:v>黑山</x:v>
      </x:c>
      <x:c r="B1117" s="71" t="str">
        <x:v>第3组</x:v>
      </x:c>
      <x:c r="C1117" s="71" t="str">
        <x:v>EUR</x:v>
      </x:c>
      <x:c r="D1117" s="71" t="str">
        <x:v>Basic／年</x:v>
      </x:c>
      <x:c r="E1117" s="73" t="n">
        <x:v>33.99</x:v>
      </x:c>
      <x:c r="F1117" s="71" t="str">
        <x:v>33,99 €</x:v>
      </x:c>
      <x:c r="G1117" s="71" t="str">
        <x:v>sr-Latn-ME</x:v>
      </x:c>
    </x:row>
    <x:row r="1118" ht="27" customHeight="1">
      <x:c r="A1118" s="71" t="str">
        <x:v>黑山</x:v>
      </x:c>
      <x:c r="B1118" s="71" t="str">
        <x:v>第3组</x:v>
      </x:c>
      <x:c r="C1118" s="71" t="str">
        <x:v>EUR</x:v>
      </x:c>
      <x:c r="D1118" s="71" t="str">
        <x:v>Plus／年</x:v>
      </x:c>
      <x:c r="E1118" s="73" t="n">
        <x:v>67.99</x:v>
      </x:c>
      <x:c r="F1118" s="71" t="str">
        <x:v>67,99 €</x:v>
      </x:c>
      <x:c r="G1118" s="71" t="str">
        <x:v>sr-Latn-ME</x:v>
      </x:c>
    </x:row>
    <x:row r="1119" ht="27" customHeight="1">
      <x:c r="A1119" s="71" t="str">
        <x:v>黑山</x:v>
      </x:c>
      <x:c r="B1119" s="71" t="str">
        <x:v>第3组</x:v>
      </x:c>
      <x:c r="C1119" s="71" t="str">
        <x:v>EUR</x:v>
      </x:c>
      <x:c r="D1119" s="71" t="str">
        <x:v>新Pro／年</x:v>
      </x:c>
      <x:c r="E1119" s="73" t="n">
        <x:v>131.88</x:v>
      </x:c>
      <x:c r="F1119" s="71" t="str">
        <x:v>131,88 €</x:v>
      </x:c>
      <x:c r="G1119" s="71" t="str">
        <x:v>sr-Latn-ME</x:v>
      </x:c>
    </x:row>
    <x:row r="1120" ht="27" customHeight="1">
      <x:c r="A1120" s="71" t="str">
        <x:v>黑山</x:v>
      </x:c>
      <x:c r="B1120" s="71" t="str">
        <x:v>第3组</x:v>
      </x:c>
      <x:c r="C1120" s="71" t="str">
        <x:v>EUR</x:v>
      </x:c>
      <x:c r="D1120" s="71" t="str">
        <x:v>作业包／3份</x:v>
      </x:c>
      <x:c r="E1120" s="73" t="n">
        <x:v>3.49</x:v>
      </x:c>
      <x:c r="F1120" s="71" t="str">
        <x:v>3,49 €</x:v>
      </x:c>
      <x:c r="G1120" s="71" t="str">
        <x:v>sr-Latn-ME</x:v>
      </x:c>
    </x:row>
    <x:row r="1121" ht="27" customHeight="1">
      <x:c r="A1121" s="71" t="str">
        <x:v>黑山</x:v>
      </x:c>
      <x:c r="B1121" s="71" t="str">
        <x:v>第3组</x:v>
      </x:c>
      <x:c r="C1121" s="71" t="str">
        <x:v>EUR</x:v>
      </x:c>
      <x:c r="D1121" s="71" t="str">
        <x:v>检测包／5份</x:v>
      </x:c>
      <x:c r="E1121" s="73" t="n">
        <x:v>1.79</x:v>
      </x:c>
      <x:c r="F1121" s="71" t="str">
        <x:v>1,79 €</x:v>
      </x:c>
      <x:c r="G1121" s="71" t="str">
        <x:v>sr-Latn-ME</x:v>
      </x:c>
    </x:row>
    <x:row r="1122" ht="27" customHeight="1">
      <x:c r="A1122" s="71" t="str">
        <x:v>黑山</x:v>
      </x:c>
      <x:c r="B1122" s="71" t="str">
        <x:v>第3组</x:v>
      </x:c>
      <x:c r="C1122" s="71" t="str">
        <x:v>EUR</x:v>
      </x:c>
      <x:c r="D1122" s="71" t="str">
        <x:v>Humanizer包／3份</x:v>
      </x:c>
      <x:c r="E1122" s="73" t="n">
        <x:v>2.49</x:v>
      </x:c>
      <x:c r="F1122" s="71" t="str">
        <x:v>2,49 €</x:v>
      </x:c>
      <x:c r="G1122" s="71" t="str">
        <x:v>sr-Latn-ME</x:v>
      </x:c>
    </x:row>
    <x:row r="1123" ht="27" customHeight="1">
      <x:c r="A1123" s="71" t="str">
        <x:v>黑山</x:v>
      </x:c>
      <x:c r="B1123" s="71" t="str">
        <x:v>第3组</x:v>
      </x:c>
      <x:c r="C1123" s="71" t="str">
        <x:v>EUR</x:v>
      </x:c>
      <x:c r="D1123" s="71" t="str">
        <x:v>Study Pass／月</x:v>
      </x:c>
      <x:c r="E1123" s="73" t="n">
        <x:v>0.53</x:v>
      </x:c>
      <x:c r="F1123" s="71" t="str">
        <x:v>0,53 €</x:v>
      </x:c>
      <x:c r="G1123" s="71" t="str">
        <x:v>sr-Latn-ME</x:v>
      </x:c>
    </x:row>
    <x:row r="1124" ht="27" customHeight="1">
      <x:c r="A1124" s="71" t="str">
        <x:v>缅甸</x:v>
      </x:c>
      <x:c r="B1124" s="71" t="str">
        <x:v>第3组</x:v>
      </x:c>
      <x:c r="C1124" s="71" t="str">
        <x:v>MMK</x:v>
      </x:c>
      <x:c r="D1124" s="71" t="str">
        <x:v>Trial／7天</x:v>
      </x:c>
      <x:c r="E1124" s="72" t="n">
        <x:v>1299</x:v>
      </x:c>
      <x:c r="F1124" s="71" t="str">
        <x:v>1,299 K</x:v>
      </x:c>
      <x:c r="G1124" s="71" t="str">
        <x:v>my-MM</x:v>
      </x:c>
    </x:row>
    <x:row r="1125" ht="27" customHeight="1">
      <x:c r="A1125" s="71" t="str">
        <x:v>缅甸</x:v>
      </x:c>
      <x:c r="B1125" s="71" t="str">
        <x:v>第3组</x:v>
      </x:c>
      <x:c r="C1125" s="71" t="str">
        <x:v>MMK</x:v>
      </x:c>
      <x:c r="D1125" s="71" t="str">
        <x:v>Basic／月</x:v>
      </x:c>
      <x:c r="E1125" s="72" t="n">
        <x:v>8399</x:v>
      </x:c>
      <x:c r="F1125" s="71" t="str">
        <x:v>8,399 K</x:v>
      </x:c>
      <x:c r="G1125" s="71" t="str">
        <x:v>my-MM</x:v>
      </x:c>
    </x:row>
    <x:row r="1126" ht="27" customHeight="1">
      <x:c r="A1126" s="71" t="str">
        <x:v>缅甸</x:v>
      </x:c>
      <x:c r="B1126" s="71" t="str">
        <x:v>第3组</x:v>
      </x:c>
      <x:c r="C1126" s="71" t="str">
        <x:v>MMK</x:v>
      </x:c>
      <x:c r="D1126" s="71" t="str">
        <x:v>Plus／月</x:v>
      </x:c>
      <x:c r="E1126" s="72" t="n">
        <x:v>16900</x:v>
      </x:c>
      <x:c r="F1126" s="71" t="str">
        <x:v>16,900 K</x:v>
      </x:c>
      <x:c r="G1126" s="71" t="str">
        <x:v>my-MM</x:v>
      </x:c>
    </x:row>
    <x:row r="1127" ht="27" customHeight="1">
      <x:c r="A1127" s="71" t="str">
        <x:v>缅甸</x:v>
      </x:c>
      <x:c r="B1127" s="71" t="str">
        <x:v>第3组</x:v>
      </x:c>
      <x:c r="C1127" s="71" t="str">
        <x:v>MMK</x:v>
      </x:c>
      <x:c r="D1127" s="71" t="str">
        <x:v>新Pro／月</x:v>
      </x:c>
      <x:c r="E1127" s="72" t="n">
        <x:v>12900</x:v>
      </x:c>
      <x:c r="F1127" s="71" t="str">
        <x:v>12,900 K</x:v>
      </x:c>
      <x:c r="G1127" s="71" t="str">
        <x:v>my-MM</x:v>
      </x:c>
    </x:row>
    <x:row r="1128" ht="27" customHeight="1">
      <x:c r="A1128" s="71" t="str">
        <x:v>缅甸</x:v>
      </x:c>
      <x:c r="B1128" s="71" t="str">
        <x:v>第3组</x:v>
      </x:c>
      <x:c r="C1128" s="71" t="str">
        <x:v>MMK</x:v>
      </x:c>
      <x:c r="D1128" s="71" t="str">
        <x:v>Basic／年</x:v>
      </x:c>
      <x:c r="E1128" s="72" t="n">
        <x:v>39900</x:v>
      </x:c>
      <x:c r="F1128" s="71" t="str">
        <x:v>39,900 K</x:v>
      </x:c>
      <x:c r="G1128" s="71" t="str">
        <x:v>my-MM</x:v>
      </x:c>
    </x:row>
    <x:row r="1129" ht="27" customHeight="1">
      <x:c r="A1129" s="71" t="str">
        <x:v>缅甸</x:v>
      </x:c>
      <x:c r="B1129" s="71" t="str">
        <x:v>第3组</x:v>
      </x:c>
      <x:c r="C1129" s="71" t="str">
        <x:v>MMK</x:v>
      </x:c>
      <x:c r="D1129" s="71" t="str">
        <x:v>Plus／年</x:v>
      </x:c>
      <x:c r="E1129" s="72" t="n">
        <x:v>80900</x:v>
      </x:c>
      <x:c r="F1129" s="71" t="str">
        <x:v>80,900 K</x:v>
      </x:c>
      <x:c r="G1129" s="71" t="str">
        <x:v>my-MM</x:v>
      </x:c>
    </x:row>
    <x:row r="1130" ht="27" customHeight="1">
      <x:c r="A1130" s="71" t="str">
        <x:v>缅甸</x:v>
      </x:c>
      <x:c r="B1130" s="71" t="str">
        <x:v>第3组</x:v>
      </x:c>
      <x:c r="C1130" s="71" t="str">
        <x:v>MMK</x:v>
      </x:c>
      <x:c r="D1130" s="71" t="str">
        <x:v>新Pro／年</x:v>
      </x:c>
      <x:c r="E1130" s="72" t="n">
        <x:v>154800</x:v>
      </x:c>
      <x:c r="F1130" s="71" t="str">
        <x:v>154,800 K</x:v>
      </x:c>
      <x:c r="G1130" s="71" t="str">
        <x:v>my-MM</x:v>
      </x:c>
    </x:row>
    <x:row r="1131" ht="27" customHeight="1">
      <x:c r="A1131" s="71" t="str">
        <x:v>缅甸</x:v>
      </x:c>
      <x:c r="B1131" s="71" t="str">
        <x:v>第3组</x:v>
      </x:c>
      <x:c r="C1131" s="71" t="str">
        <x:v>MMK</x:v>
      </x:c>
      <x:c r="D1131" s="71" t="str">
        <x:v>作业包／3份</x:v>
      </x:c>
      <x:c r="E1131" s="72" t="n">
        <x:v>4199</x:v>
      </x:c>
      <x:c r="F1131" s="71" t="str">
        <x:v>4,199 K</x:v>
      </x:c>
      <x:c r="G1131" s="71" t="str">
        <x:v>my-MM</x:v>
      </x:c>
    </x:row>
    <x:row r="1132" ht="27" customHeight="1">
      <x:c r="A1132" s="71" t="str">
        <x:v>缅甸</x:v>
      </x:c>
      <x:c r="B1132" s="71" t="str">
        <x:v>第3组</x:v>
      </x:c>
      <x:c r="C1132" s="71" t="str">
        <x:v>MMK</x:v>
      </x:c>
      <x:c r="D1132" s="71" t="str">
        <x:v>检测包／5份</x:v>
      </x:c>
      <x:c r="E1132" s="72" t="n">
        <x:v>2099</x:v>
      </x:c>
      <x:c r="F1132" s="71" t="str">
        <x:v>2,099 K</x:v>
      </x:c>
      <x:c r="G1132" s="71" t="str">
        <x:v>my-MM</x:v>
      </x:c>
    </x:row>
    <x:row r="1133" ht="27" customHeight="1">
      <x:c r="A1133" s="71" t="str">
        <x:v>缅甸</x:v>
      </x:c>
      <x:c r="B1133" s="71" t="str">
        <x:v>第3组</x:v>
      </x:c>
      <x:c r="C1133" s="71" t="str">
        <x:v>MMK</x:v>
      </x:c>
      <x:c r="D1133" s="71" t="str">
        <x:v>Humanizer包／3份</x:v>
      </x:c>
      <x:c r="E1133" s="72" t="n">
        <x:v>2899</x:v>
      </x:c>
      <x:c r="F1133" s="71" t="str">
        <x:v>2,899 K</x:v>
      </x:c>
      <x:c r="G1133" s="71" t="str">
        <x:v>my-MM</x:v>
      </x:c>
    </x:row>
    <x:row r="1134" ht="27" customHeight="1">
      <x:c r="A1134" s="71" t="str">
        <x:v>缅甸</x:v>
      </x:c>
      <x:c r="B1134" s="71" t="str">
        <x:v>第3组</x:v>
      </x:c>
      <x:c r="C1134" s="71" t="str">
        <x:v>MMK</x:v>
      </x:c>
      <x:c r="D1134" s="71" t="str">
        <x:v>Study Pass／月</x:v>
      </x:c>
      <x:c r="E1134" s="72" t="n">
        <x:v>1300</x:v>
      </x:c>
      <x:c r="F1134" s="71" t="str">
        <x:v>1,300 K</x:v>
      </x:c>
      <x:c r="G1134" s="71" t="str">
        <x:v>my-MM</x:v>
      </x:c>
    </x:row>
    <x:row r="1135" ht="27" customHeight="1">
      <x:c r="A1135" s="71" t="str">
        <x:v>尼泊尔</x:v>
      </x:c>
      <x:c r="B1135" s="71" t="str">
        <x:v>第3组</x:v>
      </x:c>
      <x:c r="C1135" s="71" t="str">
        <x:v>NPR</x:v>
      </x:c>
      <x:c r="D1135" s="71" t="str">
        <x:v>Trial／7天</x:v>
      </x:c>
      <x:c r="E1135" s="72" t="n">
        <x:v>89</x:v>
      </x:c>
      <x:c r="F1135" s="71" t="str">
        <x:v>नेरू 89</x:v>
      </x:c>
      <x:c r="G1135" s="71" t="str">
        <x:v>ne-NP</x:v>
      </x:c>
    </x:row>
    <x:row r="1136" ht="27" customHeight="1">
      <x:c r="A1136" s="71" t="str">
        <x:v>尼泊尔</x:v>
      </x:c>
      <x:c r="B1136" s="71" t="str">
        <x:v>第3组</x:v>
      </x:c>
      <x:c r="C1136" s="71" t="str">
        <x:v>NPR</x:v>
      </x:c>
      <x:c r="D1136" s="71" t="str">
        <x:v>Basic／月</x:v>
      </x:c>
      <x:c r="E1136" s="72" t="n">
        <x:v>609</x:v>
      </x:c>
      <x:c r="F1136" s="71" t="str">
        <x:v>नेरू 609</x:v>
      </x:c>
      <x:c r="G1136" s="71" t="str">
        <x:v>ne-NP</x:v>
      </x:c>
    </x:row>
    <x:row r="1137" ht="27" customHeight="1">
      <x:c r="A1137" s="71" t="str">
        <x:v>尼泊尔</x:v>
      </x:c>
      <x:c r="B1137" s="71" t="str">
        <x:v>第3组</x:v>
      </x:c>
      <x:c r="C1137" s="71" t="str">
        <x:v>NPR</x:v>
      </x:c>
      <x:c r="D1137" s="71" t="str">
        <x:v>Plus／月</x:v>
      </x:c>
      <x:c r="E1137" s="72" t="n">
        <x:v>1199</x:v>
      </x:c>
      <x:c r="F1137" s="71" t="str">
        <x:v>नेरू 1,199</x:v>
      </x:c>
      <x:c r="G1137" s="71" t="str">
        <x:v>ne-NP</x:v>
      </x:c>
    </x:row>
    <x:row r="1138" ht="27" customHeight="1">
      <x:c r="A1138" s="71" t="str">
        <x:v>尼泊尔</x:v>
      </x:c>
      <x:c r="B1138" s="71" t="str">
        <x:v>第3组</x:v>
      </x:c>
      <x:c r="C1138" s="71" t="str">
        <x:v>NPR</x:v>
      </x:c>
      <x:c r="D1138" s="71" t="str">
        <x:v>新Pro／月</x:v>
      </x:c>
      <x:c r="E1138" s="72" t="n">
        <x:v>909</x:v>
      </x:c>
      <x:c r="F1138" s="71" t="str">
        <x:v>नेरू 909</x:v>
      </x:c>
      <x:c r="G1138" s="71" t="str">
        <x:v>ne-NP</x:v>
      </x:c>
    </x:row>
    <x:row r="1139" ht="27" customHeight="1">
      <x:c r="A1139" s="71" t="str">
        <x:v>尼泊尔</x:v>
      </x:c>
      <x:c r="B1139" s="71" t="str">
        <x:v>第3组</x:v>
      </x:c>
      <x:c r="C1139" s="71" t="str">
        <x:v>NPR</x:v>
      </x:c>
      <x:c r="D1139" s="71" t="str">
        <x:v>Basic／年</x:v>
      </x:c>
      <x:c r="E1139" s="72" t="n">
        <x:v>2899</x:v>
      </x:c>
      <x:c r="F1139" s="71" t="str">
        <x:v>नेरू 2,899</x:v>
      </x:c>
      <x:c r="G1139" s="71" t="str">
        <x:v>ne-NP</x:v>
      </x:c>
    </x:row>
    <x:row r="1140" ht="27" customHeight="1">
      <x:c r="A1140" s="71" t="str">
        <x:v>尼泊尔</x:v>
      </x:c>
      <x:c r="B1140" s="71" t="str">
        <x:v>第3组</x:v>
      </x:c>
      <x:c r="C1140" s="71" t="str">
        <x:v>NPR</x:v>
      </x:c>
      <x:c r="D1140" s="71" t="str">
        <x:v>Plus／年</x:v>
      </x:c>
      <x:c r="E1140" s="72" t="n">
        <x:v>5799</x:v>
      </x:c>
      <x:c r="F1140" s="71" t="str">
        <x:v>नेरू 5,799</x:v>
      </x:c>
      <x:c r="G1140" s="71" t="str">
        <x:v>ne-NP</x:v>
      </x:c>
    </x:row>
    <x:row r="1141" ht="27" customHeight="1">
      <x:c r="A1141" s="71" t="str">
        <x:v>尼泊尔</x:v>
      </x:c>
      <x:c r="B1141" s="71" t="str">
        <x:v>第3组</x:v>
      </x:c>
      <x:c r="C1141" s="71" t="str">
        <x:v>NPR</x:v>
      </x:c>
      <x:c r="D1141" s="71" t="str">
        <x:v>新Pro／年</x:v>
      </x:c>
      <x:c r="E1141" s="72" t="n">
        <x:v>10908</x:v>
      </x:c>
      <x:c r="F1141" s="71" t="str">
        <x:v>नेरू 10,908</x:v>
      </x:c>
      <x:c r="G1141" s="71" t="str">
        <x:v>ne-NP</x:v>
      </x:c>
    </x:row>
    <x:row r="1142" ht="27" customHeight="1">
      <x:c r="A1142" s="71" t="str">
        <x:v>尼泊尔</x:v>
      </x:c>
      <x:c r="B1142" s="71" t="str">
        <x:v>第3组</x:v>
      </x:c>
      <x:c r="C1142" s="71" t="str">
        <x:v>NPR</x:v>
      </x:c>
      <x:c r="D1142" s="71" t="str">
        <x:v>作业包／3份</x:v>
      </x:c>
      <x:c r="E1142" s="72" t="n">
        <x:v>309</x:v>
      </x:c>
      <x:c r="F1142" s="71" t="str">
        <x:v>नेरू 309</x:v>
      </x:c>
      <x:c r="G1142" s="71" t="str">
        <x:v>ne-NP</x:v>
      </x:c>
    </x:row>
    <x:row r="1143" ht="27" customHeight="1">
      <x:c r="A1143" s="71" t="str">
        <x:v>尼泊尔</x:v>
      </x:c>
      <x:c r="B1143" s="71" t="str">
        <x:v>第3组</x:v>
      </x:c>
      <x:c r="C1143" s="71" t="str">
        <x:v>NPR</x:v>
      </x:c>
      <x:c r="D1143" s="71" t="str">
        <x:v>检测包／5份</x:v>
      </x:c>
      <x:c r="E1143" s="72" t="n">
        <x:v>149</x:v>
      </x:c>
      <x:c r="F1143" s="71" t="str">
        <x:v>नेरू 149</x:v>
      </x:c>
      <x:c r="G1143" s="71" t="str">
        <x:v>ne-NP</x:v>
      </x:c>
    </x:row>
    <x:row r="1144" ht="27" customHeight="1">
      <x:c r="A1144" s="71" t="str">
        <x:v>尼泊尔</x:v>
      </x:c>
      <x:c r="B1144" s="71" t="str">
        <x:v>第3组</x:v>
      </x:c>
      <x:c r="C1144" s="71" t="str">
        <x:v>NPR</x:v>
      </x:c>
      <x:c r="D1144" s="71" t="str">
        <x:v>Humanizer包／3份</x:v>
      </x:c>
      <x:c r="E1144" s="72" t="n">
        <x:v>209</x:v>
      </x:c>
      <x:c r="F1144" s="71" t="str">
        <x:v>नेरू 209</x:v>
      </x:c>
      <x:c r="G1144" s="71" t="str">
        <x:v>ne-NP</x:v>
      </x:c>
    </x:row>
    <x:row r="1145" ht="27" customHeight="1">
      <x:c r="A1145" s="71" t="str">
        <x:v>尼泊尔</x:v>
      </x:c>
      <x:c r="B1145" s="71" t="str">
        <x:v>第3组</x:v>
      </x:c>
      <x:c r="C1145" s="71" t="str">
        <x:v>NPR</x:v>
      </x:c>
      <x:c r="D1145" s="71" t="str">
        <x:v>Study Pass／月</x:v>
      </x:c>
      <x:c r="E1145" s="72" t="n">
        <x:v>92</x:v>
      </x:c>
      <x:c r="F1145" s="71" t="str">
        <x:v>नेरू 92</x:v>
      </x:c>
      <x:c r="G1145" s="71" t="str">
        <x:v>ne-NP</x:v>
      </x:c>
    </x:row>
    <x:row r="1146" ht="27" customHeight="1">
      <x:c r="A1146" s="71" t="str">
        <x:v>挪威</x:v>
      </x:c>
      <x:c r="B1146" s="71" t="str">
        <x:v>第3组</x:v>
      </x:c>
      <x:c r="C1146" s="71" t="str">
        <x:v>NOK</x:v>
      </x:c>
      <x:c r="D1146" s="71" t="str">
        <x:v>Trial／7天</x:v>
      </x:c>
      <x:c r="E1146" s="72" t="n">
        <x:v>28</x:v>
      </x:c>
      <x:c r="F1146" s="71" t="str">
        <x:v>28 kr</x:v>
      </x:c>
      <x:c r="G1146" s="71" t="str">
        <x:v>nb-NO</x:v>
      </x:c>
    </x:row>
    <x:row r="1147" ht="27" customHeight="1">
      <x:c r="A1147" s="71" t="str">
        <x:v>挪威</x:v>
      </x:c>
      <x:c r="B1147" s="71" t="str">
        <x:v>第3组</x:v>
      </x:c>
      <x:c r="C1147" s="71" t="str">
        <x:v>NOK</x:v>
      </x:c>
      <x:c r="D1147" s="71" t="str">
        <x:v>Basic／月</x:v>
      </x:c>
      <x:c r="E1147" s="72" t="n">
        <x:v>189</x:v>
      </x:c>
      <x:c r="F1147" s="71" t="str">
        <x:v>189 kr</x:v>
      </x:c>
      <x:c r="G1147" s="71" t="str">
        <x:v>nb-NO</x:v>
      </x:c>
    </x:row>
    <x:row r="1148" ht="27" customHeight="1">
      <x:c r="A1148" s="71" t="str">
        <x:v>挪威</x:v>
      </x:c>
      <x:c r="B1148" s="71" t="str">
        <x:v>第3组</x:v>
      </x:c>
      <x:c r="C1148" s="71" t="str">
        <x:v>NOK</x:v>
      </x:c>
      <x:c r="D1148" s="71" t="str">
        <x:v>Plus／月</x:v>
      </x:c>
      <x:c r="E1148" s="72" t="n">
        <x:v>377</x:v>
      </x:c>
      <x:c r="F1148" s="71" t="str">
        <x:v>377 kr</x:v>
      </x:c>
      <x:c r="G1148" s="71" t="str">
        <x:v>nb-NO</x:v>
      </x:c>
    </x:row>
    <x:row r="1149" ht="27" customHeight="1">
      <x:c r="A1149" s="71" t="str">
        <x:v>挪威</x:v>
      </x:c>
      <x:c r="B1149" s="71" t="str">
        <x:v>第3组</x:v>
      </x:c>
      <x:c r="C1149" s="71" t="str">
        <x:v>NOK</x:v>
      </x:c>
      <x:c r="D1149" s="71" t="str">
        <x:v>新Pro／月</x:v>
      </x:c>
      <x:c r="E1149" s="72" t="n">
        <x:v>283</x:v>
      </x:c>
      <x:c r="F1149" s="71" t="str">
        <x:v>283 kr</x:v>
      </x:c>
      <x:c r="G1149" s="71" t="str">
        <x:v>nb-NO</x:v>
      </x:c>
    </x:row>
    <x:row r="1150" ht="27" customHeight="1">
      <x:c r="A1150" s="71" t="str">
        <x:v>挪威</x:v>
      </x:c>
      <x:c r="B1150" s="71" t="str">
        <x:v>第3组</x:v>
      </x:c>
      <x:c r="C1150" s="71" t="str">
        <x:v>NOK</x:v>
      </x:c>
      <x:c r="D1150" s="71" t="str">
        <x:v>Basic／年</x:v>
      </x:c>
      <x:c r="E1150" s="72" t="n">
        <x:v>905</x:v>
      </x:c>
      <x:c r="F1150" s="71" t="str">
        <x:v>905 kr</x:v>
      </x:c>
      <x:c r="G1150" s="71" t="str">
        <x:v>nb-NO</x:v>
      </x:c>
    </x:row>
    <x:row r="1151" ht="27" customHeight="1">
      <x:c r="A1151" s="71" t="str">
        <x:v>挪威</x:v>
      </x:c>
      <x:c r="B1151" s="71" t="str">
        <x:v>第3组</x:v>
      </x:c>
      <x:c r="C1151" s="71" t="str">
        <x:v>NOK</x:v>
      </x:c>
      <x:c r="D1151" s="71" t="str">
        <x:v>Plus／年</x:v>
      </x:c>
      <x:c r="E1151" s="72" t="n">
        <x:v>1811</x:v>
      </x:c>
      <x:c r="F1151" s="71" t="str">
        <x:v>1 811 kr</x:v>
      </x:c>
      <x:c r="G1151" s="71" t="str">
        <x:v>nb-NO</x:v>
      </x:c>
    </x:row>
    <x:row r="1152" ht="27" customHeight="1">
      <x:c r="A1152" s="71" t="str">
        <x:v>挪威</x:v>
      </x:c>
      <x:c r="B1152" s="71" t="str">
        <x:v>第3组</x:v>
      </x:c>
      <x:c r="C1152" s="71" t="str">
        <x:v>NOK</x:v>
      </x:c>
      <x:c r="D1152" s="71" t="str">
        <x:v>新Pro／年</x:v>
      </x:c>
      <x:c r="E1152" s="72" t="n">
        <x:v>3396</x:v>
      </x:c>
      <x:c r="F1152" s="71" t="str">
        <x:v>3 396 kr</x:v>
      </x:c>
      <x:c r="G1152" s="71" t="str">
        <x:v>nb-NO</x:v>
      </x:c>
    </x:row>
    <x:row r="1153" ht="27" customHeight="1">
      <x:c r="A1153" s="71" t="str">
        <x:v>挪威</x:v>
      </x:c>
      <x:c r="B1153" s="71" t="str">
        <x:v>第3组</x:v>
      </x:c>
      <x:c r="C1153" s="71" t="str">
        <x:v>NOK</x:v>
      </x:c>
      <x:c r="D1153" s="71" t="str">
        <x:v>作业包／3份</x:v>
      </x:c>
      <x:c r="E1153" s="72" t="n">
        <x:v>94</x:v>
      </x:c>
      <x:c r="F1153" s="71" t="str">
        <x:v>94 kr</x:v>
      </x:c>
      <x:c r="G1153" s="71" t="str">
        <x:v>nb-NO</x:v>
      </x:c>
    </x:row>
    <x:row r="1154" ht="27" customHeight="1">
      <x:c r="A1154" s="71" t="str">
        <x:v>挪威</x:v>
      </x:c>
      <x:c r="B1154" s="71" t="str">
        <x:v>第3组</x:v>
      </x:c>
      <x:c r="C1154" s="71" t="str">
        <x:v>NOK</x:v>
      </x:c>
      <x:c r="D1154" s="71" t="str">
        <x:v>检测包／5份</x:v>
      </x:c>
      <x:c r="E1154" s="72" t="n">
        <x:v>47</x:v>
      </x:c>
      <x:c r="F1154" s="71" t="str">
        <x:v>47 kr</x:v>
      </x:c>
      <x:c r="G1154" s="71" t="str">
        <x:v>nb-NO</x:v>
      </x:c>
    </x:row>
    <x:row r="1155" ht="27" customHeight="1">
      <x:c r="A1155" s="71" t="str">
        <x:v>挪威</x:v>
      </x:c>
      <x:c r="B1155" s="71" t="str">
        <x:v>第3组</x:v>
      </x:c>
      <x:c r="C1155" s="71" t="str">
        <x:v>NOK</x:v>
      </x:c>
      <x:c r="D1155" s="71" t="str">
        <x:v>Humanizer包／3份</x:v>
      </x:c>
      <x:c r="E1155" s="72" t="n">
        <x:v>66</x:v>
      </x:c>
      <x:c r="F1155" s="71" t="str">
        <x:v>66 kr</x:v>
      </x:c>
      <x:c r="G1155" s="71" t="str">
        <x:v>nb-NO</x:v>
      </x:c>
    </x:row>
    <x:row r="1156" ht="27" customHeight="1">
      <x:c r="A1156" s="71" t="str">
        <x:v>挪威</x:v>
      </x:c>
      <x:c r="B1156" s="71" t="str">
        <x:v>第3组</x:v>
      </x:c>
      <x:c r="C1156" s="71" t="str">
        <x:v>NOK</x:v>
      </x:c>
      <x:c r="D1156" s="71" t="str">
        <x:v>Study Pass／月</x:v>
      </x:c>
      <x:c r="E1156" s="73" t="n">
        <x:v>9.4</x:v>
      </x:c>
      <x:c r="F1156" s="71" t="str">
        <x:v>9,40 kr</x:v>
      </x:c>
      <x:c r="G1156" s="71" t="str">
        <x:v>nb-NO</x:v>
      </x:c>
    </x:row>
    <x:row r="1157" ht="27" customHeight="1">
      <x:c r="A1157" s="71" t="str">
        <x:v>阿曼</x:v>
      </x:c>
      <x:c r="B1157" s="71" t="str">
        <x:v>第3组</x:v>
      </x:c>
      <x:c r="C1157" s="71" t="str">
        <x:v>USD</x:v>
      </x:c>
      <x:c r="D1157" s="71" t="str">
        <x:v>Trial／7天</x:v>
      </x:c>
      <x:c r="E1157" s="73" t="n">
        <x:v>1.49</x:v>
      </x:c>
      <x:c r="F1157" s="71" t="str">
        <x:v>‏1.49 US$</x:v>
      </x:c>
      <x:c r="G1157" s="71" t="str">
        <x:v>ar-OM</x:v>
      </x:c>
    </x:row>
    <x:row r="1158" ht="27" customHeight="1">
      <x:c r="A1158" s="71" t="str">
        <x:v>阿曼</x:v>
      </x:c>
      <x:c r="B1158" s="71" t="str">
        <x:v>第3组</x:v>
      </x:c>
      <x:c r="C1158" s="71" t="str">
        <x:v>USD</x:v>
      </x:c>
      <x:c r="D1158" s="71" t="str">
        <x:v>Basic／月</x:v>
      </x:c>
      <x:c r="E1158" s="73" t="n">
        <x:v>9.99</x:v>
      </x:c>
      <x:c r="F1158" s="71" t="str">
        <x:v>‏9.99 US$</x:v>
      </x:c>
      <x:c r="G1158" s="71" t="str">
        <x:v>ar-OM</x:v>
      </x:c>
    </x:row>
    <x:row r="1159" ht="27" customHeight="1">
      <x:c r="A1159" s="71" t="str">
        <x:v>阿曼</x:v>
      </x:c>
      <x:c r="B1159" s="71" t="str">
        <x:v>第3组</x:v>
      </x:c>
      <x:c r="C1159" s="71" t="str">
        <x:v>USD</x:v>
      </x:c>
      <x:c r="D1159" s="71" t="str">
        <x:v>Plus／月</x:v>
      </x:c>
      <x:c r="E1159" s="73" t="n">
        <x:v>19.99</x:v>
      </x:c>
      <x:c r="F1159" s="71" t="str">
        <x:v>‏19.99 US$</x:v>
      </x:c>
      <x:c r="G1159" s="71" t="str">
        <x:v>ar-OM</x:v>
      </x:c>
    </x:row>
    <x:row r="1160" ht="27" customHeight="1">
      <x:c r="A1160" s="71" t="str">
        <x:v>阿曼</x:v>
      </x:c>
      <x:c r="B1160" s="71" t="str">
        <x:v>第3组</x:v>
      </x:c>
      <x:c r="C1160" s="71" t="str">
        <x:v>USD</x:v>
      </x:c>
      <x:c r="D1160" s="71" t="str">
        <x:v>新Pro／月</x:v>
      </x:c>
      <x:c r="E1160" s="73" t="n">
        <x:v>14.99</x:v>
      </x:c>
      <x:c r="F1160" s="71" t="str">
        <x:v>‏14.99 US$</x:v>
      </x:c>
      <x:c r="G1160" s="71" t="str">
        <x:v>ar-OM</x:v>
      </x:c>
    </x:row>
    <x:row r="1161" ht="27" customHeight="1">
      <x:c r="A1161" s="71" t="str">
        <x:v>阿曼</x:v>
      </x:c>
      <x:c r="B1161" s="71" t="str">
        <x:v>第3组</x:v>
      </x:c>
      <x:c r="C1161" s="71" t="str">
        <x:v>USD</x:v>
      </x:c>
      <x:c r="D1161" s="71" t="str">
        <x:v>Basic／年</x:v>
      </x:c>
      <x:c r="E1161" s="73" t="n">
        <x:v>47.99</x:v>
      </x:c>
      <x:c r="F1161" s="71" t="str">
        <x:v>‏47.99 US$</x:v>
      </x:c>
      <x:c r="G1161" s="71" t="str">
        <x:v>ar-OM</x:v>
      </x:c>
    </x:row>
    <x:row r="1162" ht="27" customHeight="1">
      <x:c r="A1162" s="71" t="str">
        <x:v>阿曼</x:v>
      </x:c>
      <x:c r="B1162" s="71" t="str">
        <x:v>第3组</x:v>
      </x:c>
      <x:c r="C1162" s="71" t="str">
        <x:v>USD</x:v>
      </x:c>
      <x:c r="D1162" s="71" t="str">
        <x:v>Plus／年</x:v>
      </x:c>
      <x:c r="E1162" s="73" t="n">
        <x:v>95.99</x:v>
      </x:c>
      <x:c r="F1162" s="71" t="str">
        <x:v>‏95.99 US$</x:v>
      </x:c>
      <x:c r="G1162" s="71" t="str">
        <x:v>ar-OM</x:v>
      </x:c>
    </x:row>
    <x:row r="1163" ht="27" customHeight="1">
      <x:c r="A1163" s="71" t="str">
        <x:v>阿曼</x:v>
      </x:c>
      <x:c r="B1163" s="71" t="str">
        <x:v>第3组</x:v>
      </x:c>
      <x:c r="C1163" s="71" t="str">
        <x:v>USD</x:v>
      </x:c>
      <x:c r="D1163" s="71" t="str">
        <x:v>新Pro／年</x:v>
      </x:c>
      <x:c r="E1163" s="73" t="n">
        <x:v>179.88</x:v>
      </x:c>
      <x:c r="F1163" s="71" t="str">
        <x:v>‏179.88 US$</x:v>
      </x:c>
      <x:c r="G1163" s="71" t="str">
        <x:v>ar-OM</x:v>
      </x:c>
    </x:row>
    <x:row r="1164" ht="27" customHeight="1">
      <x:c r="A1164" s="71" t="str">
        <x:v>阿曼</x:v>
      </x:c>
      <x:c r="B1164" s="71" t="str">
        <x:v>第3组</x:v>
      </x:c>
      <x:c r="C1164" s="71" t="str">
        <x:v>USD</x:v>
      </x:c>
      <x:c r="D1164" s="71" t="str">
        <x:v>作业包／3份</x:v>
      </x:c>
      <x:c r="E1164" s="73" t="n">
        <x:v>4.99</x:v>
      </x:c>
      <x:c r="F1164" s="71" t="str">
        <x:v>‏4.99 US$</x:v>
      </x:c>
      <x:c r="G1164" s="71" t="str">
        <x:v>ar-OM</x:v>
      </x:c>
    </x:row>
    <x:row r="1165" ht="27" customHeight="1">
      <x:c r="A1165" s="71" t="str">
        <x:v>阿曼</x:v>
      </x:c>
      <x:c r="B1165" s="71" t="str">
        <x:v>第3组</x:v>
      </x:c>
      <x:c r="C1165" s="71" t="str">
        <x:v>USD</x:v>
      </x:c>
      <x:c r="D1165" s="71" t="str">
        <x:v>检测包／5份</x:v>
      </x:c>
      <x:c r="E1165" s="73" t="n">
        <x:v>2.49</x:v>
      </x:c>
      <x:c r="F1165" s="71" t="str">
        <x:v>‏2.49 US$</x:v>
      </x:c>
      <x:c r="G1165" s="71" t="str">
        <x:v>ar-OM</x:v>
      </x:c>
    </x:row>
    <x:row r="1166" ht="27" customHeight="1">
      <x:c r="A1166" s="71" t="str">
        <x:v>阿曼</x:v>
      </x:c>
      <x:c r="B1166" s="71" t="str">
        <x:v>第3组</x:v>
      </x:c>
      <x:c r="C1166" s="71" t="str">
        <x:v>USD</x:v>
      </x:c>
      <x:c r="D1166" s="71" t="str">
        <x:v>Humanizer包／3份</x:v>
      </x:c>
      <x:c r="E1166" s="73" t="n">
        <x:v>3.49</x:v>
      </x:c>
      <x:c r="F1166" s="71" t="str">
        <x:v>‏3.49 US$</x:v>
      </x:c>
      <x:c r="G1166" s="71" t="str">
        <x:v>ar-OM</x:v>
      </x:c>
    </x:row>
    <x:row r="1167" ht="27" customHeight="1">
      <x:c r="A1167" s="71" t="str">
        <x:v>阿曼</x:v>
      </x:c>
      <x:c r="B1167" s="71" t="str">
        <x:v>第3组</x:v>
      </x:c>
      <x:c r="C1167" s="71" t="str">
        <x:v>USD</x:v>
      </x:c>
      <x:c r="D1167" s="71" t="str">
        <x:v>Study Pass／月</x:v>
      </x:c>
      <x:c r="E1167" s="73" t="n">
        <x:v>0.6</x:v>
      </x:c>
      <x:c r="F1167" s="71" t="str">
        <x:v>‏0.60 US$</x:v>
      </x:c>
      <x:c r="G1167" s="71" t="str">
        <x:v>ar-OM</x:v>
      </x:c>
    </x:row>
    <x:row r="1168" ht="27" customHeight="1">
      <x:c r="A1168" s="71" t="str">
        <x:v>巴布亚新几内亚</x:v>
      </x:c>
      <x:c r="B1168" s="71" t="str">
        <x:v>第3组</x:v>
      </x:c>
      <x:c r="C1168" s="71" t="str">
        <x:v>PGK</x:v>
      </x:c>
      <x:c r="D1168" s="71" t="str">
        <x:v>Trial／7天</x:v>
      </x:c>
      <x:c r="E1168" s="73" t="n">
        <x:v>5.49</x:v>
      </x:c>
      <x:c r="F1168" s="71" t="str">
        <x:v>K 5.49</x:v>
      </x:c>
      <x:c r="G1168" s="71" t="str">
        <x:v>en-PG</x:v>
      </x:c>
    </x:row>
    <x:row r="1169" ht="27" customHeight="1">
      <x:c r="A1169" s="71" t="str">
        <x:v>巴布亚新几内亚</x:v>
      </x:c>
      <x:c r="B1169" s="71" t="str">
        <x:v>第3组</x:v>
      </x:c>
      <x:c r="C1169" s="71" t="str">
        <x:v>PGK</x:v>
      </x:c>
      <x:c r="D1169" s="71" t="str">
        <x:v>Basic／月</x:v>
      </x:c>
      <x:c r="E1169" s="73" t="n">
        <x:v>35.99</x:v>
      </x:c>
      <x:c r="F1169" s="71" t="str">
        <x:v>K 35.99</x:v>
      </x:c>
      <x:c r="G1169" s="71" t="str">
        <x:v>en-PG</x:v>
      </x:c>
    </x:row>
    <x:row r="1170" ht="27" customHeight="1">
      <x:c r="A1170" s="71" t="str">
        <x:v>巴布亚新几内亚</x:v>
      </x:c>
      <x:c r="B1170" s="71" t="str">
        <x:v>第3组</x:v>
      </x:c>
      <x:c r="C1170" s="71" t="str">
        <x:v>PGK</x:v>
      </x:c>
      <x:c r="D1170" s="71" t="str">
        <x:v>Plus／月</x:v>
      </x:c>
      <x:c r="E1170" s="73" t="n">
        <x:v>71.99</x:v>
      </x:c>
      <x:c r="F1170" s="71" t="str">
        <x:v>K 71.99</x:v>
      </x:c>
      <x:c r="G1170" s="71" t="str">
        <x:v>en-PG</x:v>
      </x:c>
    </x:row>
    <x:row r="1171" ht="27" customHeight="1">
      <x:c r="A1171" s="71" t="str">
        <x:v>巴布亚新几内亚</x:v>
      </x:c>
      <x:c r="B1171" s="71" t="str">
        <x:v>第3组</x:v>
      </x:c>
      <x:c r="C1171" s="71" t="str">
        <x:v>PGK</x:v>
      </x:c>
      <x:c r="D1171" s="71" t="str">
        <x:v>新Pro／月</x:v>
      </x:c>
      <x:c r="E1171" s="73" t="n">
        <x:v>53.99</x:v>
      </x:c>
      <x:c r="F1171" s="71" t="str">
        <x:v>K 53.99</x:v>
      </x:c>
      <x:c r="G1171" s="71" t="str">
        <x:v>en-PG</x:v>
      </x:c>
    </x:row>
    <x:row r="1172" ht="27" customHeight="1">
      <x:c r="A1172" s="71" t="str">
        <x:v>巴布亚新几内亚</x:v>
      </x:c>
      <x:c r="B1172" s="71" t="str">
        <x:v>第3组</x:v>
      </x:c>
      <x:c r="C1172" s="71" t="str">
        <x:v>PGK</x:v>
      </x:c>
      <x:c r="D1172" s="71" t="str">
        <x:v>Basic／年</x:v>
      </x:c>
      <x:c r="E1172" s="73" t="n">
        <x:v>172.99</x:v>
      </x:c>
      <x:c r="F1172" s="71" t="str">
        <x:v>K 172.99</x:v>
      </x:c>
      <x:c r="G1172" s="71" t="str">
        <x:v>en-PG</x:v>
      </x:c>
    </x:row>
    <x:row r="1173" ht="27" customHeight="1">
      <x:c r="A1173" s="71" t="str">
        <x:v>巴布亚新几内亚</x:v>
      </x:c>
      <x:c r="B1173" s="71" t="str">
        <x:v>第3组</x:v>
      </x:c>
      <x:c r="C1173" s="71" t="str">
        <x:v>PGK</x:v>
      </x:c>
      <x:c r="D1173" s="71" t="str">
        <x:v>Plus／年</x:v>
      </x:c>
      <x:c r="E1173" s="73" t="n">
        <x:v>346.99</x:v>
      </x:c>
      <x:c r="F1173" s="71" t="str">
        <x:v>K 346.99</x:v>
      </x:c>
      <x:c r="G1173" s="71" t="str">
        <x:v>en-PG</x:v>
      </x:c>
    </x:row>
    <x:row r="1174" ht="27" customHeight="1">
      <x:c r="A1174" s="71" t="str">
        <x:v>巴布亚新几内亚</x:v>
      </x:c>
      <x:c r="B1174" s="71" t="str">
        <x:v>第3组</x:v>
      </x:c>
      <x:c r="C1174" s="71" t="str">
        <x:v>PGK</x:v>
      </x:c>
      <x:c r="D1174" s="71" t="str">
        <x:v>新Pro／年</x:v>
      </x:c>
      <x:c r="E1174" s="73" t="n">
        <x:v>647.88</x:v>
      </x:c>
      <x:c r="F1174" s="71" t="str">
        <x:v>K 647.88</x:v>
      </x:c>
      <x:c r="G1174" s="71" t="str">
        <x:v>en-PG</x:v>
      </x:c>
    </x:row>
    <x:row r="1175" ht="27" customHeight="1">
      <x:c r="A1175" s="71" t="str">
        <x:v>巴布亚新几内亚</x:v>
      </x:c>
      <x:c r="B1175" s="71" t="str">
        <x:v>第3组</x:v>
      </x:c>
      <x:c r="C1175" s="71" t="str">
        <x:v>PGK</x:v>
      </x:c>
      <x:c r="D1175" s="71" t="str">
        <x:v>作业包／3份</x:v>
      </x:c>
      <x:c r="E1175" s="73" t="n">
        <x:v>17.99</x:v>
      </x:c>
      <x:c r="F1175" s="71" t="str">
        <x:v>K 17.99</x:v>
      </x:c>
      <x:c r="G1175" s="71" t="str">
        <x:v>en-PG</x:v>
      </x:c>
    </x:row>
    <x:row r="1176" ht="27" customHeight="1">
      <x:c r="A1176" s="71" t="str">
        <x:v>巴布亚新几内亚</x:v>
      </x:c>
      <x:c r="B1176" s="71" t="str">
        <x:v>第3组</x:v>
      </x:c>
      <x:c r="C1176" s="71" t="str">
        <x:v>PGK</x:v>
      </x:c>
      <x:c r="D1176" s="71" t="str">
        <x:v>检测包／5份</x:v>
      </x:c>
      <x:c r="E1176" s="73" t="n">
        <x:v>8.99</x:v>
      </x:c>
      <x:c r="F1176" s="71" t="str">
        <x:v>K 8.99</x:v>
      </x:c>
      <x:c r="G1176" s="71" t="str">
        <x:v>en-PG</x:v>
      </x:c>
    </x:row>
    <x:row r="1177" ht="27" customHeight="1">
      <x:c r="A1177" s="71" t="str">
        <x:v>巴布亚新几内亚</x:v>
      </x:c>
      <x:c r="B1177" s="71" t="str">
        <x:v>第3组</x:v>
      </x:c>
      <x:c r="C1177" s="71" t="str">
        <x:v>PGK</x:v>
      </x:c>
      <x:c r="D1177" s="71" t="str">
        <x:v>Humanizer包／3份</x:v>
      </x:c>
      <x:c r="E1177" s="73" t="n">
        <x:v>12.99</x:v>
      </x:c>
      <x:c r="F1177" s="71" t="str">
        <x:v>K 12.99</x:v>
      </x:c>
      <x:c r="G1177" s="71" t="str">
        <x:v>en-PG</x:v>
      </x:c>
    </x:row>
    <x:row r="1178" ht="27" customHeight="1">
      <x:c r="A1178" s="71" t="str">
        <x:v>巴布亚新几内亚</x:v>
      </x:c>
      <x:c r="B1178" s="71" t="str">
        <x:v>第3组</x:v>
      </x:c>
      <x:c r="C1178" s="71" t="str">
        <x:v>PGK</x:v>
      </x:c>
      <x:c r="D1178" s="71" t="str">
        <x:v>Study Pass／月</x:v>
      </x:c>
      <x:c r="E1178" s="73" t="n">
        <x:v>2.8</x:v>
      </x:c>
      <x:c r="F1178" s="71" t="str">
        <x:v>K 2.80</x:v>
      </x:c>
      <x:c r="G1178" s="71" t="str">
        <x:v>en-PG</x:v>
      </x:c>
    </x:row>
    <x:row r="1179" ht="27" customHeight="1">
      <x:c r="A1179" s="71" t="str">
        <x:v>波兰</x:v>
      </x:c>
      <x:c r="B1179" s="71" t="str">
        <x:v>第3组</x:v>
      </x:c>
      <x:c r="C1179" s="71" t="str">
        <x:v>PLN</x:v>
      </x:c>
      <x:c r="D1179" s="71" t="str">
        <x:v>Trial／7天</x:v>
      </x:c>
      <x:c r="E1179" s="73" t="n">
        <x:v>5.99</x:v>
      </x:c>
      <x:c r="F1179" s="71" t="str">
        <x:v>5,99 zł</x:v>
      </x:c>
      <x:c r="G1179" s="71" t="str">
        <x:v>pl-PL</x:v>
      </x:c>
    </x:row>
    <x:row r="1180" ht="27" customHeight="1">
      <x:c r="A1180" s="71" t="str">
        <x:v>波兰</x:v>
      </x:c>
      <x:c r="B1180" s="71" t="str">
        <x:v>第3组</x:v>
      </x:c>
      <x:c r="C1180" s="71" t="str">
        <x:v>PLN</x:v>
      </x:c>
      <x:c r="D1180" s="71" t="str">
        <x:v>Basic／月</x:v>
      </x:c>
      <x:c r="E1180" s="73" t="n">
        <x:v>38.99</x:v>
      </x:c>
      <x:c r="F1180" s="71" t="str">
        <x:v>38,99 zł</x:v>
      </x:c>
      <x:c r="G1180" s="71" t="str">
        <x:v>pl-PL</x:v>
      </x:c>
    </x:row>
    <x:row r="1181" ht="27" customHeight="1">
      <x:c r="A1181" s="71" t="str">
        <x:v>波兰</x:v>
      </x:c>
      <x:c r="B1181" s="71" t="str">
        <x:v>第3组</x:v>
      </x:c>
      <x:c r="C1181" s="71" t="str">
        <x:v>PLN</x:v>
      </x:c>
      <x:c r="D1181" s="71" t="str">
        <x:v>Plus／月</x:v>
      </x:c>
      <x:c r="E1181" s="73" t="n">
        <x:v>77.99</x:v>
      </x:c>
      <x:c r="F1181" s="71" t="str">
        <x:v>77,99 zł</x:v>
      </x:c>
      <x:c r="G1181" s="71" t="str">
        <x:v>pl-PL</x:v>
      </x:c>
    </x:row>
    <x:row r="1182" ht="27" customHeight="1">
      <x:c r="A1182" s="71" t="str">
        <x:v>波兰</x:v>
      </x:c>
      <x:c r="B1182" s="71" t="str">
        <x:v>第3组</x:v>
      </x:c>
      <x:c r="C1182" s="71" t="str">
        <x:v>PLN</x:v>
      </x:c>
      <x:c r="D1182" s="71" t="str">
        <x:v>新Pro／月</x:v>
      </x:c>
      <x:c r="E1182" s="73" t="n">
        <x:v>57.99</x:v>
      </x:c>
      <x:c r="F1182" s="71" t="str">
        <x:v>57,99 zł</x:v>
      </x:c>
      <x:c r="G1182" s="71" t="str">
        <x:v>pl-PL</x:v>
      </x:c>
    </x:row>
    <x:row r="1183" ht="27" customHeight="1">
      <x:c r="A1183" s="71" t="str">
        <x:v>波兰</x:v>
      </x:c>
      <x:c r="B1183" s="71" t="str">
        <x:v>第3组</x:v>
      </x:c>
      <x:c r="C1183" s="71" t="str">
        <x:v>PLN</x:v>
      </x:c>
      <x:c r="D1183" s="71" t="str">
        <x:v>Basic／年</x:v>
      </x:c>
      <x:c r="E1183" s="73" t="n">
        <x:v>185.99</x:v>
      </x:c>
      <x:c r="F1183" s="71" t="str">
        <x:v>185,99 zł</x:v>
      </x:c>
      <x:c r="G1183" s="71" t="str">
        <x:v>pl-PL</x:v>
      </x:c>
    </x:row>
    <x:row r="1184" ht="27" customHeight="1">
      <x:c r="A1184" s="71" t="str">
        <x:v>波兰</x:v>
      </x:c>
      <x:c r="B1184" s="71" t="str">
        <x:v>第3组</x:v>
      </x:c>
      <x:c r="C1184" s="71" t="str">
        <x:v>PLN</x:v>
      </x:c>
      <x:c r="D1184" s="71" t="str">
        <x:v>Plus／年</x:v>
      </x:c>
      <x:c r="E1184" s="73" t="n">
        <x:v>372.99</x:v>
      </x:c>
      <x:c r="F1184" s="71" t="str">
        <x:v>372,99 zł</x:v>
      </x:c>
      <x:c r="G1184" s="71" t="str">
        <x:v>pl-PL</x:v>
      </x:c>
    </x:row>
    <x:row r="1185" ht="27" customHeight="1">
      <x:c r="A1185" s="71" t="str">
        <x:v>波兰</x:v>
      </x:c>
      <x:c r="B1185" s="71" t="str">
        <x:v>第3组</x:v>
      </x:c>
      <x:c r="C1185" s="71" t="str">
        <x:v>PLN</x:v>
      </x:c>
      <x:c r="D1185" s="71" t="str">
        <x:v>新Pro／年</x:v>
      </x:c>
      <x:c r="E1185" s="73" t="n">
        <x:v>695.88</x:v>
      </x:c>
      <x:c r="F1185" s="71" t="str">
        <x:v>695,88 zł</x:v>
      </x:c>
      <x:c r="G1185" s="71" t="str">
        <x:v>pl-PL</x:v>
      </x:c>
    </x:row>
    <x:row r="1186" ht="27" customHeight="1">
      <x:c r="A1186" s="71" t="str">
        <x:v>波兰</x:v>
      </x:c>
      <x:c r="B1186" s="71" t="str">
        <x:v>第3组</x:v>
      </x:c>
      <x:c r="C1186" s="71" t="str">
        <x:v>PLN</x:v>
      </x:c>
      <x:c r="D1186" s="71" t="str">
        <x:v>作业包／3份</x:v>
      </x:c>
      <x:c r="E1186" s="73" t="n">
        <x:v>18.99</x:v>
      </x:c>
      <x:c r="F1186" s="71" t="str">
        <x:v>18,99 zł</x:v>
      </x:c>
      <x:c r="G1186" s="71" t="str">
        <x:v>pl-PL</x:v>
      </x:c>
    </x:row>
    <x:row r="1187" ht="27" customHeight="1">
      <x:c r="A1187" s="71" t="str">
        <x:v>波兰</x:v>
      </x:c>
      <x:c r="B1187" s="71" t="str">
        <x:v>第3组</x:v>
      </x:c>
      <x:c r="C1187" s="71" t="str">
        <x:v>PLN</x:v>
      </x:c>
      <x:c r="D1187" s="71" t="str">
        <x:v>检测包／5份</x:v>
      </x:c>
      <x:c r="E1187" s="73" t="n">
        <x:v>9.49</x:v>
      </x:c>
      <x:c r="F1187" s="71" t="str">
        <x:v>9,49 zł</x:v>
      </x:c>
      <x:c r="G1187" s="71" t="str">
        <x:v>pl-PL</x:v>
      </x:c>
    </x:row>
    <x:row r="1188" ht="27" customHeight="1">
      <x:c r="A1188" s="71" t="str">
        <x:v>波兰</x:v>
      </x:c>
      <x:c r="B1188" s="71" t="str">
        <x:v>第3组</x:v>
      </x:c>
      <x:c r="C1188" s="71" t="str">
        <x:v>PLN</x:v>
      </x:c>
      <x:c r="D1188" s="71" t="str">
        <x:v>Humanizer包／3份</x:v>
      </x:c>
      <x:c r="E1188" s="73" t="n">
        <x:v>13.99</x:v>
      </x:c>
      <x:c r="F1188" s="71" t="str">
        <x:v>13,99 zł</x:v>
      </x:c>
      <x:c r="G1188" s="71" t="str">
        <x:v>pl-PL</x:v>
      </x:c>
    </x:row>
    <x:row r="1189" ht="27" customHeight="1">
      <x:c r="A1189" s="71" t="str">
        <x:v>波兰</x:v>
      </x:c>
      <x:c r="B1189" s="71" t="str">
        <x:v>第3组</x:v>
      </x:c>
      <x:c r="C1189" s="71" t="str">
        <x:v>PLN</x:v>
      </x:c>
      <x:c r="D1189" s="71" t="str">
        <x:v>Study Pass／月</x:v>
      </x:c>
      <x:c r="E1189" s="73" t="n">
        <x:v>2.4</x:v>
      </x:c>
      <x:c r="F1189" s="71" t="str">
        <x:v>2,40 zł</x:v>
      </x:c>
      <x:c r="G1189" s="71" t="str">
        <x:v>pl-PL</x:v>
      </x:c>
    </x:row>
    <x:row r="1190" ht="27" customHeight="1">
      <x:c r="A1190" s="71" t="str">
        <x:v>波多黎各</x:v>
      </x:c>
      <x:c r="B1190" s="71" t="str">
        <x:v>第3组</x:v>
      </x:c>
      <x:c r="C1190" s="71" t="str">
        <x:v>USD</x:v>
      </x:c>
      <x:c r="D1190" s="71" t="str">
        <x:v>Trial／7天</x:v>
      </x:c>
      <x:c r="E1190" s="73" t="n">
        <x:v>1.49</x:v>
      </x:c>
      <x:c r="F1190" s="71" t="str">
        <x:v>US$1.49</x:v>
      </x:c>
      <x:c r="G1190" s="71" t="str">
        <x:v>es-PR</x:v>
      </x:c>
    </x:row>
    <x:row r="1191" ht="27" customHeight="1">
      <x:c r="A1191" s="71" t="str">
        <x:v>波多黎各</x:v>
      </x:c>
      <x:c r="B1191" s="71" t="str">
        <x:v>第3组</x:v>
      </x:c>
      <x:c r="C1191" s="71" t="str">
        <x:v>USD</x:v>
      </x:c>
      <x:c r="D1191" s="71" t="str">
        <x:v>Basic／月</x:v>
      </x:c>
      <x:c r="E1191" s="73" t="n">
        <x:v>10.99</x:v>
      </x:c>
      <x:c r="F1191" s="71" t="str">
        <x:v>US$10.99</x:v>
      </x:c>
      <x:c r="G1191" s="71" t="str">
        <x:v>es-PR</x:v>
      </x:c>
    </x:row>
    <x:row r="1192" ht="27" customHeight="1">
      <x:c r="A1192" s="71" t="str">
        <x:v>波多黎各</x:v>
      </x:c>
      <x:c r="B1192" s="71" t="str">
        <x:v>第3组</x:v>
      </x:c>
      <x:c r="C1192" s="71" t="str">
        <x:v>USD</x:v>
      </x:c>
      <x:c r="D1192" s="71" t="str">
        <x:v>Plus／月</x:v>
      </x:c>
      <x:c r="E1192" s="73" t="n">
        <x:v>21.99</x:v>
      </x:c>
      <x:c r="F1192" s="71" t="str">
        <x:v>US$21.99</x:v>
      </x:c>
      <x:c r="G1192" s="71" t="str">
        <x:v>es-PR</x:v>
      </x:c>
    </x:row>
    <x:row r="1193" ht="27" customHeight="1">
      <x:c r="A1193" s="71" t="str">
        <x:v>波多黎各</x:v>
      </x:c>
      <x:c r="B1193" s="71" t="str">
        <x:v>第3组</x:v>
      </x:c>
      <x:c r="C1193" s="71" t="str">
        <x:v>USD</x:v>
      </x:c>
      <x:c r="D1193" s="71" t="str">
        <x:v>新Pro／月</x:v>
      </x:c>
      <x:c r="E1193" s="73" t="n">
        <x:v>16.99</x:v>
      </x:c>
      <x:c r="F1193" s="71" t="str">
        <x:v>US$16.99</x:v>
      </x:c>
      <x:c r="G1193" s="71" t="str">
        <x:v>es-PR</x:v>
      </x:c>
    </x:row>
    <x:row r="1194" ht="27" customHeight="1">
      <x:c r="A1194" s="71" t="str">
        <x:v>波多黎各</x:v>
      </x:c>
      <x:c r="B1194" s="71" t="str">
        <x:v>第3组</x:v>
      </x:c>
      <x:c r="C1194" s="71" t="str">
        <x:v>USD</x:v>
      </x:c>
      <x:c r="D1194" s="71" t="str">
        <x:v>Basic／年</x:v>
      </x:c>
      <x:c r="E1194" s="73" t="n">
        <x:v>52.99</x:v>
      </x:c>
      <x:c r="F1194" s="71" t="str">
        <x:v>US$52.99</x:v>
      </x:c>
      <x:c r="G1194" s="71" t="str">
        <x:v>es-PR</x:v>
      </x:c>
    </x:row>
    <x:row r="1195" ht="27" customHeight="1">
      <x:c r="A1195" s="71" t="str">
        <x:v>波多黎各</x:v>
      </x:c>
      <x:c r="B1195" s="71" t="str">
        <x:v>第3组</x:v>
      </x:c>
      <x:c r="C1195" s="71" t="str">
        <x:v>USD</x:v>
      </x:c>
      <x:c r="D1195" s="71" t="str">
        <x:v>Plus／年</x:v>
      </x:c>
      <x:c r="E1195" s="73" t="n">
        <x:v>105.99</x:v>
      </x:c>
      <x:c r="F1195" s="71" t="str">
        <x:v>US$105.99</x:v>
      </x:c>
      <x:c r="G1195" s="71" t="str">
        <x:v>es-PR</x:v>
      </x:c>
    </x:row>
    <x:row r="1196" ht="27" customHeight="1">
      <x:c r="A1196" s="71" t="str">
        <x:v>波多黎各</x:v>
      </x:c>
      <x:c r="B1196" s="71" t="str">
        <x:v>第3组</x:v>
      </x:c>
      <x:c r="C1196" s="71" t="str">
        <x:v>USD</x:v>
      </x:c>
      <x:c r="D1196" s="71" t="str">
        <x:v>新Pro／年</x:v>
      </x:c>
      <x:c r="E1196" s="73" t="n">
        <x:v>203.88</x:v>
      </x:c>
      <x:c r="F1196" s="71" t="str">
        <x:v>US$203.88</x:v>
      </x:c>
      <x:c r="G1196" s="71" t="str">
        <x:v>es-PR</x:v>
      </x:c>
    </x:row>
    <x:row r="1197" ht="27" customHeight="1">
      <x:c r="A1197" s="71" t="str">
        <x:v>波多黎各</x:v>
      </x:c>
      <x:c r="B1197" s="71" t="str">
        <x:v>第3组</x:v>
      </x:c>
      <x:c r="C1197" s="71" t="str">
        <x:v>USD</x:v>
      </x:c>
      <x:c r="D1197" s="71" t="str">
        <x:v>作业包／3份</x:v>
      </x:c>
      <x:c r="E1197" s="73" t="n">
        <x:v>5.49</x:v>
      </x:c>
      <x:c r="F1197" s="71" t="str">
        <x:v>US$5.49</x:v>
      </x:c>
      <x:c r="G1197" s="71" t="str">
        <x:v>es-PR</x:v>
      </x:c>
    </x:row>
    <x:row r="1198" ht="27" customHeight="1">
      <x:c r="A1198" s="71" t="str">
        <x:v>波多黎各</x:v>
      </x:c>
      <x:c r="B1198" s="71" t="str">
        <x:v>第3组</x:v>
      </x:c>
      <x:c r="C1198" s="71" t="str">
        <x:v>USD</x:v>
      </x:c>
      <x:c r="D1198" s="71" t="str">
        <x:v>检测包／5份</x:v>
      </x:c>
      <x:c r="E1198" s="73" t="n">
        <x:v>2.49</x:v>
      </x:c>
      <x:c r="F1198" s="71" t="str">
        <x:v>US$2.49</x:v>
      </x:c>
      <x:c r="G1198" s="71" t="str">
        <x:v>es-PR</x:v>
      </x:c>
    </x:row>
    <x:row r="1199" ht="27" customHeight="1">
      <x:c r="A1199" s="71" t="str">
        <x:v>波多黎各</x:v>
      </x:c>
      <x:c r="B1199" s="71" t="str">
        <x:v>第3组</x:v>
      </x:c>
      <x:c r="C1199" s="71" t="str">
        <x:v>USD</x:v>
      </x:c>
      <x:c r="D1199" s="71" t="str">
        <x:v>Humanizer包／3份</x:v>
      </x:c>
      <x:c r="E1199" s="73" t="n">
        <x:v>3.99</x:v>
      </x:c>
      <x:c r="F1199" s="71" t="str">
        <x:v>US$3.99</x:v>
      </x:c>
      <x:c r="G1199" s="71" t="str">
        <x:v>es-PR</x:v>
      </x:c>
    </x:row>
    <x:row r="1200" ht="27" customHeight="1">
      <x:c r="A1200" s="71" t="str">
        <x:v>波多黎各</x:v>
      </x:c>
      <x:c r="B1200" s="71" t="str">
        <x:v>第3组</x:v>
      </x:c>
      <x:c r="C1200" s="71" t="str">
        <x:v>USD</x:v>
      </x:c>
      <x:c r="D1200" s="71" t="str">
        <x:v>Study Pass／月</x:v>
      </x:c>
      <x:c r="E1200" s="73" t="n">
        <x:v>0.6</x:v>
      </x:c>
      <x:c r="F1200" s="71" t="str">
        <x:v>US$0.60</x:v>
      </x:c>
      <x:c r="G1200" s="71" t="str">
        <x:v>es-PR</x:v>
      </x:c>
    </x:row>
    <x:row r="1201" ht="27" customHeight="1">
      <x:c r="A1201" s="71" t="str">
        <x:v>塞尔维亚</x:v>
      </x:c>
      <x:c r="B1201" s="71" t="str">
        <x:v>第3组</x:v>
      </x:c>
      <x:c r="C1201" s="71" t="str">
        <x:v>RSD</x:v>
      </x:c>
      <x:c r="D1201" s="71" t="str">
        <x:v>Trial／7天</x:v>
      </x:c>
      <x:c r="E1201" s="72" t="n">
        <x:v>129</x:v>
      </x:c>
      <x:c r="F1201" s="71" t="str">
        <x:v>129 RSD</x:v>
      </x:c>
      <x:c r="G1201" s="71" t="str">
        <x:v>sr-Latn-RS</x:v>
      </x:c>
    </x:row>
    <x:row r="1202" ht="27" customHeight="1">
      <x:c r="A1202" s="71" t="str">
        <x:v>塞尔维亚</x:v>
      </x:c>
      <x:c r="B1202" s="71" t="str">
        <x:v>第3组</x:v>
      </x:c>
      <x:c r="C1202" s="71" t="str">
        <x:v>RSD</x:v>
      </x:c>
      <x:c r="D1202" s="71" t="str">
        <x:v>Basic／月</x:v>
      </x:c>
      <x:c r="E1202" s="72" t="n">
        <x:v>839</x:v>
      </x:c>
      <x:c r="F1202" s="71" t="str">
        <x:v>839 RSD</x:v>
      </x:c>
      <x:c r="G1202" s="71" t="str">
        <x:v>sr-Latn-RS</x:v>
      </x:c>
    </x:row>
    <x:row r="1203" ht="27" customHeight="1">
      <x:c r="A1203" s="71" t="str">
        <x:v>塞尔维亚</x:v>
      </x:c>
      <x:c r="B1203" s="71" t="str">
        <x:v>第3组</x:v>
      </x:c>
      <x:c r="C1203" s="71" t="str">
        <x:v>RSD</x:v>
      </x:c>
      <x:c r="D1203" s="71" t="str">
        <x:v>Plus／月</x:v>
      </x:c>
      <x:c r="E1203" s="72" t="n">
        <x:v>1699</x:v>
      </x:c>
      <x:c r="F1203" s="71" t="str">
        <x:v>1.699 RSD</x:v>
      </x:c>
      <x:c r="G1203" s="71" t="str">
        <x:v>sr-Latn-RS</x:v>
      </x:c>
    </x:row>
    <x:row r="1204" ht="27" customHeight="1">
      <x:c r="A1204" s="71" t="str">
        <x:v>塞尔维亚</x:v>
      </x:c>
      <x:c r="B1204" s="71" t="str">
        <x:v>第3组</x:v>
      </x:c>
      <x:c r="C1204" s="71" t="str">
        <x:v>RSD</x:v>
      </x:c>
      <x:c r="D1204" s="71" t="str">
        <x:v>新Pro／月</x:v>
      </x:c>
      <x:c r="E1204" s="72" t="n">
        <x:v>1299</x:v>
      </x:c>
      <x:c r="F1204" s="71" t="str">
        <x:v>1.299 RSD</x:v>
      </x:c>
      <x:c r="G1204" s="71" t="str">
        <x:v>sr-Latn-RS</x:v>
      </x:c>
    </x:row>
    <x:row r="1205" ht="27" customHeight="1">
      <x:c r="A1205" s="71" t="str">
        <x:v>塞尔维亚</x:v>
      </x:c>
      <x:c r="B1205" s="71" t="str">
        <x:v>第3组</x:v>
      </x:c>
      <x:c r="C1205" s="71" t="str">
        <x:v>RSD</x:v>
      </x:c>
      <x:c r="D1205" s="71" t="str">
        <x:v>Basic／年</x:v>
      </x:c>
      <x:c r="E1205" s="72" t="n">
        <x:v>3999</x:v>
      </x:c>
      <x:c r="F1205" s="71" t="str">
        <x:v>3.999 RSD</x:v>
      </x:c>
      <x:c r="G1205" s="71" t="str">
        <x:v>sr-Latn-RS</x:v>
      </x:c>
    </x:row>
    <x:row r="1206" ht="27" customHeight="1">
      <x:c r="A1206" s="71" t="str">
        <x:v>塞尔维亚</x:v>
      </x:c>
      <x:c r="B1206" s="71" t="str">
        <x:v>第3组</x:v>
      </x:c>
      <x:c r="C1206" s="71" t="str">
        <x:v>RSD</x:v>
      </x:c>
      <x:c r="D1206" s="71" t="str">
        <x:v>Plus／年</x:v>
      </x:c>
      <x:c r="E1206" s="72" t="n">
        <x:v>7999</x:v>
      </x:c>
      <x:c r="F1206" s="71" t="str">
        <x:v>7.999 RSD</x:v>
      </x:c>
      <x:c r="G1206" s="71" t="str">
        <x:v>sr-Latn-RS</x:v>
      </x:c>
    </x:row>
    <x:row r="1207" ht="27" customHeight="1">
      <x:c r="A1207" s="71" t="str">
        <x:v>塞尔维亚</x:v>
      </x:c>
      <x:c r="B1207" s="71" t="str">
        <x:v>第3组</x:v>
      </x:c>
      <x:c r="C1207" s="71" t="str">
        <x:v>RSD</x:v>
      </x:c>
      <x:c r="D1207" s="71" t="str">
        <x:v>新Pro／年</x:v>
      </x:c>
      <x:c r="E1207" s="72" t="n">
        <x:v>15588</x:v>
      </x:c>
      <x:c r="F1207" s="71" t="str">
        <x:v>15.588 RSD</x:v>
      </x:c>
      <x:c r="G1207" s="71" t="str">
        <x:v>sr-Latn-RS</x:v>
      </x:c>
    </x:row>
    <x:row r="1208" ht="27" customHeight="1">
      <x:c r="A1208" s="71" t="str">
        <x:v>塞尔维亚</x:v>
      </x:c>
      <x:c r="B1208" s="71" t="str">
        <x:v>第3组</x:v>
      </x:c>
      <x:c r="C1208" s="71" t="str">
        <x:v>RSD</x:v>
      </x:c>
      <x:c r="D1208" s="71" t="str">
        <x:v>作业包／3份</x:v>
      </x:c>
      <x:c r="E1208" s="72" t="n">
        <x:v>419</x:v>
      </x:c>
      <x:c r="F1208" s="71" t="str">
        <x:v>419 RSD</x:v>
      </x:c>
      <x:c r="G1208" s="71" t="str">
        <x:v>sr-Latn-RS</x:v>
      </x:c>
    </x:row>
    <x:row r="1209" ht="27" customHeight="1">
      <x:c r="A1209" s="71" t="str">
        <x:v>塞尔维亚</x:v>
      </x:c>
      <x:c r="B1209" s="71" t="str">
        <x:v>第3组</x:v>
      </x:c>
      <x:c r="C1209" s="71" t="str">
        <x:v>RSD</x:v>
      </x:c>
      <x:c r="D1209" s="71" t="str">
        <x:v>检测包／5份</x:v>
      </x:c>
      <x:c r="E1209" s="72" t="n">
        <x:v>209</x:v>
      </x:c>
      <x:c r="F1209" s="71" t="str">
        <x:v>209 RSD</x:v>
      </x:c>
      <x:c r="G1209" s="71" t="str">
        <x:v>sr-Latn-RS</x:v>
      </x:c>
    </x:row>
    <x:row r="1210" ht="27" customHeight="1">
      <x:c r="A1210" s="71" t="str">
        <x:v>塞尔维亚</x:v>
      </x:c>
      <x:c r="B1210" s="71" t="str">
        <x:v>第3组</x:v>
      </x:c>
      <x:c r="C1210" s="71" t="str">
        <x:v>RSD</x:v>
      </x:c>
      <x:c r="D1210" s="71" t="str">
        <x:v>Humanizer包／3份</x:v>
      </x:c>
      <x:c r="E1210" s="72" t="n">
        <x:v>289</x:v>
      </x:c>
      <x:c r="F1210" s="71" t="str">
        <x:v>289 RSD</x:v>
      </x:c>
      <x:c r="G1210" s="71" t="str">
        <x:v>sr-Latn-RS</x:v>
      </x:c>
    </x:row>
    <x:row r="1211" ht="27" customHeight="1">
      <x:c r="A1211" s="71" t="str">
        <x:v>塞尔维亚</x:v>
      </x:c>
      <x:c r="B1211" s="71" t="str">
        <x:v>第3组</x:v>
      </x:c>
      <x:c r="C1211" s="71" t="str">
        <x:v>RSD</x:v>
      </x:c>
      <x:c r="D1211" s="71" t="str">
        <x:v>Study Pass／月</x:v>
      </x:c>
      <x:c r="E1211" s="72" t="n">
        <x:v>63</x:v>
      </x:c>
      <x:c r="F1211" s="71" t="str">
        <x:v>63 RSD</x:v>
      </x:c>
      <x:c r="G1211" s="71" t="str">
        <x:v>sr-Latn-RS</x:v>
      </x:c>
    </x:row>
    <x:row r="1212" ht="27" customHeight="1">
      <x:c r="A1212" s="71" t="str">
        <x:v>塞舌尔</x:v>
      </x:c>
      <x:c r="B1212" s="71" t="str">
        <x:v>第3组</x:v>
      </x:c>
      <x:c r="C1212" s="71" t="str">
        <x:v>SCR</x:v>
      </x:c>
      <x:c r="D1212" s="71" t="str">
        <x:v>Trial／7天</x:v>
      </x:c>
      <x:c r="E1212" s="73" t="n">
        <x:v>21.99</x:v>
      </x:c>
      <x:c r="F1212" s="71" t="str">
        <x:v>SR 21.99</x:v>
      </x:c>
      <x:c r="G1212" s="71" t="str">
        <x:v>en-SC</x:v>
      </x:c>
    </x:row>
    <x:row r="1213" ht="27" customHeight="1">
      <x:c r="A1213" s="71" t="str">
        <x:v>塞舌尔</x:v>
      </x:c>
      <x:c r="B1213" s="71" t="str">
        <x:v>第3组</x:v>
      </x:c>
      <x:c r="C1213" s="71" t="str">
        <x:v>SCR</x:v>
      </x:c>
      <x:c r="D1213" s="71" t="str">
        <x:v>Basic／月</x:v>
      </x:c>
      <x:c r="E1213" s="73" t="n">
        <x:v>145.99</x:v>
      </x:c>
      <x:c r="F1213" s="71" t="str">
        <x:v>SR 145.99</x:v>
      </x:c>
      <x:c r="G1213" s="71" t="str">
        <x:v>en-SC</x:v>
      </x:c>
    </x:row>
    <x:row r="1214" ht="27" customHeight="1">
      <x:c r="A1214" s="71" t="str">
        <x:v>塞舌尔</x:v>
      </x:c>
      <x:c r="B1214" s="71" t="str">
        <x:v>第3组</x:v>
      </x:c>
      <x:c r="C1214" s="71" t="str">
        <x:v>SCR</x:v>
      </x:c>
      <x:c r="D1214" s="71" t="str">
        <x:v>Plus／月</x:v>
      </x:c>
      <x:c r="E1214" s="73" t="n">
        <x:v>290.99</x:v>
      </x:c>
      <x:c r="F1214" s="71" t="str">
        <x:v>SR 290.99</x:v>
      </x:c>
      <x:c r="G1214" s="71" t="str">
        <x:v>en-SC</x:v>
      </x:c>
    </x:row>
    <x:row r="1215" ht="27" customHeight="1">
      <x:c r="A1215" s="71" t="str">
        <x:v>塞舌尔</x:v>
      </x:c>
      <x:c r="B1215" s="71" t="str">
        <x:v>第3组</x:v>
      </x:c>
      <x:c r="C1215" s="71" t="str">
        <x:v>SCR</x:v>
      </x:c>
      <x:c r="D1215" s="71" t="str">
        <x:v>新Pro／月</x:v>
      </x:c>
      <x:c r="E1215" s="73" t="n">
        <x:v>217.99</x:v>
      </x:c>
      <x:c r="F1215" s="71" t="str">
        <x:v>SR 217.99</x:v>
      </x:c>
      <x:c r="G1215" s="71" t="str">
        <x:v>en-SC</x:v>
      </x:c>
    </x:row>
    <x:row r="1216" ht="27" customHeight="1">
      <x:c r="A1216" s="71" t="str">
        <x:v>塞舌尔</x:v>
      </x:c>
      <x:c r="B1216" s="71" t="str">
        <x:v>第3组</x:v>
      </x:c>
      <x:c r="C1216" s="71" t="str">
        <x:v>SCR</x:v>
      </x:c>
      <x:c r="D1216" s="71" t="str">
        <x:v>Basic／年</x:v>
      </x:c>
      <x:c r="E1216" s="73" t="n">
        <x:v>697.99</x:v>
      </x:c>
      <x:c r="F1216" s="71" t="str">
        <x:v>SR 697.99</x:v>
      </x:c>
      <x:c r="G1216" s="71" t="str">
        <x:v>en-SC</x:v>
      </x:c>
    </x:row>
    <x:row r="1217" ht="27" customHeight="1">
      <x:c r="A1217" s="71" t="str">
        <x:v>塞舌尔</x:v>
      </x:c>
      <x:c r="B1217" s="71" t="str">
        <x:v>第3组</x:v>
      </x:c>
      <x:c r="C1217" s="71" t="str">
        <x:v>SCR</x:v>
      </x:c>
      <x:c r="D1217" s="71" t="str">
        <x:v>Plus／年</x:v>
      </x:c>
      <x:c r="E1217" s="73" t="n">
        <x:v>1397.99</x:v>
      </x:c>
      <x:c r="F1217" s="71" t="str">
        <x:v>SR 1,397.99</x:v>
      </x:c>
      <x:c r="G1217" s="71" t="str">
        <x:v>en-SC</x:v>
      </x:c>
    </x:row>
    <x:row r="1218" ht="27" customHeight="1">
      <x:c r="A1218" s="71" t="str">
        <x:v>塞舌尔</x:v>
      </x:c>
      <x:c r="B1218" s="71" t="str">
        <x:v>第3组</x:v>
      </x:c>
      <x:c r="C1218" s="71" t="str">
        <x:v>SCR</x:v>
      </x:c>
      <x:c r="D1218" s="71" t="str">
        <x:v>新Pro／年</x:v>
      </x:c>
      <x:c r="E1218" s="73" t="n">
        <x:v>2615.88</x:v>
      </x:c>
      <x:c r="F1218" s="71" t="str">
        <x:v>SR 2,615.88</x:v>
      </x:c>
      <x:c r="G1218" s="71" t="str">
        <x:v>en-SC</x:v>
      </x:c>
    </x:row>
    <x:row r="1219" ht="27" customHeight="1">
      <x:c r="A1219" s="71" t="str">
        <x:v>塞舌尔</x:v>
      </x:c>
      <x:c r="B1219" s="71" t="str">
        <x:v>第3组</x:v>
      </x:c>
      <x:c r="C1219" s="71" t="str">
        <x:v>SCR</x:v>
      </x:c>
      <x:c r="D1219" s="71" t="str">
        <x:v>作业包／3份</x:v>
      </x:c>
      <x:c r="E1219" s="73" t="n">
        <x:v>72.99</x:v>
      </x:c>
      <x:c r="F1219" s="71" t="str">
        <x:v>SR 72.99</x:v>
      </x:c>
      <x:c r="G1219" s="71" t="str">
        <x:v>en-SC</x:v>
      </x:c>
    </x:row>
    <x:row r="1220" ht="27" customHeight="1">
      <x:c r="A1220" s="71" t="str">
        <x:v>塞舌尔</x:v>
      </x:c>
      <x:c r="B1220" s="71" t="str">
        <x:v>第3组</x:v>
      </x:c>
      <x:c r="C1220" s="71" t="str">
        <x:v>SCR</x:v>
      </x:c>
      <x:c r="D1220" s="71" t="str">
        <x:v>检测包／5份</x:v>
      </x:c>
      <x:c r="E1220" s="73" t="n">
        <x:v>35.99</x:v>
      </x:c>
      <x:c r="F1220" s="71" t="str">
        <x:v>SR 35.99</x:v>
      </x:c>
      <x:c r="G1220" s="71" t="str">
        <x:v>en-SC</x:v>
      </x:c>
    </x:row>
    <x:row r="1221" ht="27" customHeight="1">
      <x:c r="A1221" s="71" t="str">
        <x:v>塞舌尔</x:v>
      </x:c>
      <x:c r="B1221" s="71" t="str">
        <x:v>第3组</x:v>
      </x:c>
      <x:c r="C1221" s="71" t="str">
        <x:v>SCR</x:v>
      </x:c>
      <x:c r="D1221" s="71" t="str">
        <x:v>Humanizer包／3份</x:v>
      </x:c>
      <x:c r="E1221" s="73" t="n">
        <x:v>50.99</x:v>
      </x:c>
      <x:c r="F1221" s="71" t="str">
        <x:v>SR 50.99</x:v>
      </x:c>
      <x:c r="G1221" s="71" t="str">
        <x:v>en-SC</x:v>
      </x:c>
    </x:row>
    <x:row r="1222" ht="27" customHeight="1">
      <x:c r="A1222" s="71" t="str">
        <x:v>塞舌尔</x:v>
      </x:c>
      <x:c r="B1222" s="71" t="str">
        <x:v>第3组</x:v>
      </x:c>
      <x:c r="C1222" s="71" t="str">
        <x:v>SCR</x:v>
      </x:c>
      <x:c r="D1222" s="71" t="str">
        <x:v>Study Pass／月</x:v>
      </x:c>
      <x:c r="E1222" s="73" t="n">
        <x:v>8.8</x:v>
      </x:c>
      <x:c r="F1222" s="71" t="str">
        <x:v>SR 8.80</x:v>
      </x:c>
      <x:c r="G1222" s="71" t="str">
        <x:v>en-SC</x:v>
      </x:c>
    </x:row>
    <x:row r="1223" ht="27" customHeight="1">
      <x:c r="A1223" s="71" t="str">
        <x:v>斯洛伐克</x:v>
      </x:c>
      <x:c r="B1223" s="71" t="str">
        <x:v>第3组</x:v>
      </x:c>
      <x:c r="C1223" s="71" t="str">
        <x:v>EUR</x:v>
      </x:c>
      <x:c r="D1223" s="71" t="str">
        <x:v>Trial／7天</x:v>
      </x:c>
      <x:c r="E1223" s="73" t="n">
        <x:v>1.49</x:v>
      </x:c>
      <x:c r="F1223" s="71" t="str">
        <x:v>1,49 €</x:v>
      </x:c>
      <x:c r="G1223" s="71" t="str">
        <x:v>sk-SK</x:v>
      </x:c>
    </x:row>
    <x:row r="1224" ht="27" customHeight="1">
      <x:c r="A1224" s="71" t="str">
        <x:v>斯洛伐克</x:v>
      </x:c>
      <x:c r="B1224" s="71" t="str">
        <x:v>第3组</x:v>
      </x:c>
      <x:c r="C1224" s="71" t="str">
        <x:v>EUR</x:v>
      </x:c>
      <x:c r="D1224" s="71" t="str">
        <x:v>Basic／月</x:v>
      </x:c>
      <x:c r="E1224" s="73" t="n">
        <x:v>9.99</x:v>
      </x:c>
      <x:c r="F1224" s="71" t="str">
        <x:v>9,99 €</x:v>
      </x:c>
      <x:c r="G1224" s="71" t="str">
        <x:v>sk-SK</x:v>
      </x:c>
    </x:row>
    <x:row r="1225" ht="27" customHeight="1">
      <x:c r="A1225" s="71" t="str">
        <x:v>斯洛伐克</x:v>
      </x:c>
      <x:c r="B1225" s="71" t="str">
        <x:v>第3组</x:v>
      </x:c>
      <x:c r="C1225" s="71" t="str">
        <x:v>EUR</x:v>
      </x:c>
      <x:c r="D1225" s="71" t="str">
        <x:v>Plus／月</x:v>
      </x:c>
      <x:c r="E1225" s="73" t="n">
        <x:v>19.99</x:v>
      </x:c>
      <x:c r="F1225" s="71" t="str">
        <x:v>19,99 €</x:v>
      </x:c>
      <x:c r="G1225" s="71" t="str">
        <x:v>sk-SK</x:v>
      </x:c>
    </x:row>
    <x:row r="1226" ht="27" customHeight="1">
      <x:c r="A1226" s="71" t="str">
        <x:v>斯洛伐克</x:v>
      </x:c>
      <x:c r="B1226" s="71" t="str">
        <x:v>第3组</x:v>
      </x:c>
      <x:c r="C1226" s="71" t="str">
        <x:v>EUR</x:v>
      </x:c>
      <x:c r="D1226" s="71" t="str">
        <x:v>新Pro／月</x:v>
      </x:c>
      <x:c r="E1226" s="73" t="n">
        <x:v>14.99</x:v>
      </x:c>
      <x:c r="F1226" s="71" t="str">
        <x:v>14,99 €</x:v>
      </x:c>
      <x:c r="G1226" s="71" t="str">
        <x:v>sk-SK</x:v>
      </x:c>
    </x:row>
    <x:row r="1227" ht="27" customHeight="1">
      <x:c r="A1227" s="71" t="str">
        <x:v>斯洛伐克</x:v>
      </x:c>
      <x:c r="B1227" s="71" t="str">
        <x:v>第3组</x:v>
      </x:c>
      <x:c r="C1227" s="71" t="str">
        <x:v>EUR</x:v>
      </x:c>
      <x:c r="D1227" s="71" t="str">
        <x:v>Basic／年</x:v>
      </x:c>
      <x:c r="E1227" s="73" t="n">
        <x:v>46.99</x:v>
      </x:c>
      <x:c r="F1227" s="71" t="str">
        <x:v>46,99 €</x:v>
      </x:c>
      <x:c r="G1227" s="71" t="str">
        <x:v>sk-SK</x:v>
      </x:c>
    </x:row>
    <x:row r="1228" ht="27" customHeight="1">
      <x:c r="A1228" s="71" t="str">
        <x:v>斯洛伐克</x:v>
      </x:c>
      <x:c r="B1228" s="71" t="str">
        <x:v>第3组</x:v>
      </x:c>
      <x:c r="C1228" s="71" t="str">
        <x:v>EUR</x:v>
      </x:c>
      <x:c r="D1228" s="71" t="str">
        <x:v>Plus／年</x:v>
      </x:c>
      <x:c r="E1228" s="73" t="n">
        <x:v>93.99</x:v>
      </x:c>
      <x:c r="F1228" s="71" t="str">
        <x:v>93,99 €</x:v>
      </x:c>
      <x:c r="G1228" s="71" t="str">
        <x:v>sk-SK</x:v>
      </x:c>
    </x:row>
    <x:row r="1229" ht="27" customHeight="1">
      <x:c r="A1229" s="71" t="str">
        <x:v>斯洛伐克</x:v>
      </x:c>
      <x:c r="B1229" s="71" t="str">
        <x:v>第3组</x:v>
      </x:c>
      <x:c r="C1229" s="71" t="str">
        <x:v>EUR</x:v>
      </x:c>
      <x:c r="D1229" s="71" t="str">
        <x:v>新Pro／年</x:v>
      </x:c>
      <x:c r="E1229" s="73" t="n">
        <x:v>179.88</x:v>
      </x:c>
      <x:c r="F1229" s="71" t="str">
        <x:v>179,88 €</x:v>
      </x:c>
      <x:c r="G1229" s="71" t="str">
        <x:v>sk-SK</x:v>
      </x:c>
    </x:row>
    <x:row r="1230" ht="27" customHeight="1">
      <x:c r="A1230" s="71" t="str">
        <x:v>斯洛伐克</x:v>
      </x:c>
      <x:c r="B1230" s="71" t="str">
        <x:v>第3组</x:v>
      </x:c>
      <x:c r="C1230" s="71" t="str">
        <x:v>EUR</x:v>
      </x:c>
      <x:c r="D1230" s="71" t="str">
        <x:v>作业包／3份</x:v>
      </x:c>
      <x:c r="E1230" s="73" t="n">
        <x:v>4.99</x:v>
      </x:c>
      <x:c r="F1230" s="71" t="str">
        <x:v>4,99 €</x:v>
      </x:c>
      <x:c r="G1230" s="71" t="str">
        <x:v>sk-SK</x:v>
      </x:c>
    </x:row>
    <x:row r="1231" ht="27" customHeight="1">
      <x:c r="A1231" s="71" t="str">
        <x:v>斯洛伐克</x:v>
      </x:c>
      <x:c r="B1231" s="71" t="str">
        <x:v>第3组</x:v>
      </x:c>
      <x:c r="C1231" s="71" t="str">
        <x:v>EUR</x:v>
      </x:c>
      <x:c r="D1231" s="71" t="str">
        <x:v>检测包／5份</x:v>
      </x:c>
      <x:c r="E1231" s="73" t="n">
        <x:v>2.49</x:v>
      </x:c>
      <x:c r="F1231" s="71" t="str">
        <x:v>2,49 €</x:v>
      </x:c>
      <x:c r="G1231" s="71" t="str">
        <x:v>sk-SK</x:v>
      </x:c>
    </x:row>
    <x:row r="1232" ht="27" customHeight="1">
      <x:c r="A1232" s="71" t="str">
        <x:v>斯洛伐克</x:v>
      </x:c>
      <x:c r="B1232" s="71" t="str">
        <x:v>第3组</x:v>
      </x:c>
      <x:c r="C1232" s="71" t="str">
        <x:v>EUR</x:v>
      </x:c>
      <x:c r="D1232" s="71" t="str">
        <x:v>Humanizer包／3份</x:v>
      </x:c>
      <x:c r="E1232" s="73" t="n">
        <x:v>3.49</x:v>
      </x:c>
      <x:c r="F1232" s="71" t="str">
        <x:v>3,49 €</x:v>
      </x:c>
      <x:c r="G1232" s="71" t="str">
        <x:v>sk-SK</x:v>
      </x:c>
    </x:row>
    <x:row r="1233" ht="27" customHeight="1">
      <x:c r="A1233" s="71" t="str">
        <x:v>斯洛伐克</x:v>
      </x:c>
      <x:c r="B1233" s="71" t="str">
        <x:v>第3组</x:v>
      </x:c>
      <x:c r="C1233" s="71" t="str">
        <x:v>EUR</x:v>
      </x:c>
      <x:c r="D1233" s="71" t="str">
        <x:v>Study Pass／月</x:v>
      </x:c>
      <x:c r="E1233" s="73" t="n">
        <x:v>0.53</x:v>
      </x:c>
      <x:c r="F1233" s="71" t="str">
        <x:v>0,53 €</x:v>
      </x:c>
      <x:c r="G1233" s="71" t="str">
        <x:v>sk-SK</x:v>
      </x:c>
    </x:row>
    <x:row r="1234" ht="27" customHeight="1">
      <x:c r="A1234" s="71" t="str">
        <x:v>特立尼达和多巴哥</x:v>
      </x:c>
      <x:c r="B1234" s="71" t="str">
        <x:v>第3组</x:v>
      </x:c>
      <x:c r="C1234" s="71" t="str">
        <x:v>TTD</x:v>
      </x:c>
      <x:c r="D1234" s="71" t="str">
        <x:v>Trial／7天</x:v>
      </x:c>
      <x:c r="E1234" s="73" t="n">
        <x:v>9.99</x:v>
      </x:c>
      <x:c r="F1234" s="71" t="str">
        <x:v>$9.99</x:v>
      </x:c>
      <x:c r="G1234" s="71" t="str">
        <x:v>en-TT</x:v>
      </x:c>
    </x:row>
    <x:row r="1235" ht="27" customHeight="1">
      <x:c r="A1235" s="71" t="str">
        <x:v>特立尼达和多巴哥</x:v>
      </x:c>
      <x:c r="B1235" s="71" t="str">
        <x:v>第3组</x:v>
      </x:c>
      <x:c r="C1235" s="71" t="str">
        <x:v>TTD</x:v>
      </x:c>
      <x:c r="D1235" s="71" t="str">
        <x:v>Basic／月</x:v>
      </x:c>
      <x:c r="E1235" s="73" t="n">
        <x:v>67.99</x:v>
      </x:c>
      <x:c r="F1235" s="71" t="str">
        <x:v>$67.99</x:v>
      </x:c>
      <x:c r="G1235" s="71" t="str">
        <x:v>en-TT</x:v>
      </x:c>
    </x:row>
    <x:row r="1236" ht="27" customHeight="1">
      <x:c r="A1236" s="71" t="str">
        <x:v>特立尼达和多巴哥</x:v>
      </x:c>
      <x:c r="B1236" s="71" t="str">
        <x:v>第3组</x:v>
      </x:c>
      <x:c r="C1236" s="71" t="str">
        <x:v>TTD</x:v>
      </x:c>
      <x:c r="D1236" s="71" t="str">
        <x:v>Plus／月</x:v>
      </x:c>
      <x:c r="E1236" s="73" t="n">
        <x:v>134.99</x:v>
      </x:c>
      <x:c r="F1236" s="71" t="str">
        <x:v>$134.99</x:v>
      </x:c>
      <x:c r="G1236" s="71" t="str">
        <x:v>en-TT</x:v>
      </x:c>
    </x:row>
    <x:row r="1237" ht="27" customHeight="1">
      <x:c r="A1237" s="71" t="str">
        <x:v>特立尼达和多巴哥</x:v>
      </x:c>
      <x:c r="B1237" s="71" t="str">
        <x:v>第3组</x:v>
      </x:c>
      <x:c r="C1237" s="71" t="str">
        <x:v>TTD</x:v>
      </x:c>
      <x:c r="D1237" s="71" t="str">
        <x:v>新Pro／月</x:v>
      </x:c>
      <x:c r="E1237" s="73" t="n">
        <x:v>100.99</x:v>
      </x:c>
      <x:c r="F1237" s="71" t="str">
        <x:v>$100.99</x:v>
      </x:c>
      <x:c r="G1237" s="71" t="str">
        <x:v>en-TT</x:v>
      </x:c>
    </x:row>
    <x:row r="1238" ht="27" customHeight="1">
      <x:c r="A1238" s="71" t="str">
        <x:v>特立尼达和多巴哥</x:v>
      </x:c>
      <x:c r="B1238" s="71" t="str">
        <x:v>第3组</x:v>
      </x:c>
      <x:c r="C1238" s="71" t="str">
        <x:v>TTD</x:v>
      </x:c>
      <x:c r="D1238" s="71" t="str">
        <x:v>Basic／年</x:v>
      </x:c>
      <x:c r="E1238" s="73" t="n">
        <x:v>323.99</x:v>
      </x:c>
      <x:c r="F1238" s="71" t="str">
        <x:v>$323.99</x:v>
      </x:c>
      <x:c r="G1238" s="71" t="str">
        <x:v>en-TT</x:v>
      </x:c>
    </x:row>
    <x:row r="1239" ht="27" customHeight="1">
      <x:c r="A1239" s="71" t="str">
        <x:v>特立尼达和多巴哥</x:v>
      </x:c>
      <x:c r="B1239" s="71" t="str">
        <x:v>第3组</x:v>
      </x:c>
      <x:c r="C1239" s="71" t="str">
        <x:v>TTD</x:v>
      </x:c>
      <x:c r="D1239" s="71" t="str">
        <x:v>Plus／年</x:v>
      </x:c>
      <x:c r="E1239" s="73" t="n">
        <x:v>647.99</x:v>
      </x:c>
      <x:c r="F1239" s="71" t="str">
        <x:v>$647.99</x:v>
      </x:c>
      <x:c r="G1239" s="71" t="str">
        <x:v>en-TT</x:v>
      </x:c>
    </x:row>
    <x:row r="1240" ht="27" customHeight="1">
      <x:c r="A1240" s="71" t="str">
        <x:v>特立尼达和多巴哥</x:v>
      </x:c>
      <x:c r="B1240" s="71" t="str">
        <x:v>第3组</x:v>
      </x:c>
      <x:c r="C1240" s="71" t="str">
        <x:v>TTD</x:v>
      </x:c>
      <x:c r="D1240" s="71" t="str">
        <x:v>新Pro／年</x:v>
      </x:c>
      <x:c r="E1240" s="73" t="n">
        <x:v>1211.88</x:v>
      </x:c>
      <x:c r="F1240" s="71" t="str">
        <x:v>$1,211.88</x:v>
      </x:c>
      <x:c r="G1240" s="71" t="str">
        <x:v>en-TT</x:v>
      </x:c>
    </x:row>
    <x:row r="1241" ht="27" customHeight="1">
      <x:c r="A1241" s="71" t="str">
        <x:v>特立尼达和多巴哥</x:v>
      </x:c>
      <x:c r="B1241" s="71" t="str">
        <x:v>第3组</x:v>
      </x:c>
      <x:c r="C1241" s="71" t="str">
        <x:v>TTD</x:v>
      </x:c>
      <x:c r="D1241" s="71" t="str">
        <x:v>作业包／3份</x:v>
      </x:c>
      <x:c r="E1241" s="73" t="n">
        <x:v>33.99</x:v>
      </x:c>
      <x:c r="F1241" s="71" t="str">
        <x:v>$33.99</x:v>
      </x:c>
      <x:c r="G1241" s="71" t="str">
        <x:v>en-TT</x:v>
      </x:c>
    </x:row>
    <x:row r="1242" ht="27" customHeight="1">
      <x:c r="A1242" s="71" t="str">
        <x:v>特立尼达和多巴哥</x:v>
      </x:c>
      <x:c r="B1242" s="71" t="str">
        <x:v>第3组</x:v>
      </x:c>
      <x:c r="C1242" s="71" t="str">
        <x:v>TTD</x:v>
      </x:c>
      <x:c r="D1242" s="71" t="str">
        <x:v>检测包／5份</x:v>
      </x:c>
      <x:c r="E1242" s="73" t="n">
        <x:v>16.99</x:v>
      </x:c>
      <x:c r="F1242" s="71" t="str">
        <x:v>$16.99</x:v>
      </x:c>
      <x:c r="G1242" s="71" t="str">
        <x:v>en-TT</x:v>
      </x:c>
    </x:row>
    <x:row r="1243" ht="27" customHeight="1">
      <x:c r="A1243" s="71" t="str">
        <x:v>特立尼达和多巴哥</x:v>
      </x:c>
      <x:c r="B1243" s="71" t="str">
        <x:v>第3组</x:v>
      </x:c>
      <x:c r="C1243" s="71" t="str">
        <x:v>TTD</x:v>
      </x:c>
      <x:c r="D1243" s="71" t="str">
        <x:v>Humanizer包／3份</x:v>
      </x:c>
      <x:c r="E1243" s="73" t="n">
        <x:v>23.99</x:v>
      </x:c>
      <x:c r="F1243" s="71" t="str">
        <x:v>$23.99</x:v>
      </x:c>
      <x:c r="G1243" s="71" t="str">
        <x:v>en-TT</x:v>
      </x:c>
    </x:row>
    <x:row r="1244" ht="27" customHeight="1">
      <x:c r="A1244" s="71" t="str">
        <x:v>特立尼达和多巴哥</x:v>
      </x:c>
      <x:c r="B1244" s="71" t="str">
        <x:v>第3组</x:v>
      </x:c>
      <x:c r="C1244" s="71" t="str">
        <x:v>TTD</x:v>
      </x:c>
      <x:c r="D1244" s="71" t="str">
        <x:v>Study Pass／月</x:v>
      </x:c>
      <x:c r="E1244" s="73" t="n">
        <x:v>4.1</x:v>
      </x:c>
      <x:c r="F1244" s="71" t="str">
        <x:v>$4.10</x:v>
      </x:c>
      <x:c r="G1244" s="71" t="str">
        <x:v>en-TT</x:v>
      </x:c>
    </x:row>
    <x:row r="1245" ht="27" customHeight="1">
      <x:c r="A1245" s="71" t="str">
        <x:v>乌兹别克斯坦</x:v>
      </x:c>
      <x:c r="B1245" s="71" t="str">
        <x:v>第3组</x:v>
      </x:c>
      <x:c r="C1245" s="71" t="str">
        <x:v>UZS</x:v>
      </x:c>
      <x:c r="D1245" s="71" t="str">
        <x:v>Trial／7天</x:v>
      </x:c>
      <x:c r="E1245" s="72" t="n">
        <x:v>7199</x:v>
      </x:c>
      <x:c r="F1245" s="71" t="str">
        <x:v>7 199 soʻm</x:v>
      </x:c>
      <x:c r="G1245" s="71" t="str">
        <x:v>uz-UZ</x:v>
      </x:c>
    </x:row>
    <x:row r="1246" ht="27" customHeight="1">
      <x:c r="A1246" s="71" t="str">
        <x:v>乌兹别克斯坦</x:v>
      </x:c>
      <x:c r="B1246" s="71" t="str">
        <x:v>第3组</x:v>
      </x:c>
      <x:c r="C1246" s="71" t="str">
        <x:v>UZS</x:v>
      </x:c>
      <x:c r="D1246" s="71" t="str">
        <x:v>Basic／月</x:v>
      </x:c>
      <x:c r="E1246" s="72" t="n">
        <x:v>47900</x:v>
      </x:c>
      <x:c r="F1246" s="71" t="str">
        <x:v>47 900 soʻm</x:v>
      </x:c>
      <x:c r="G1246" s="71" t="str">
        <x:v>uz-UZ</x:v>
      </x:c>
    </x:row>
    <x:row r="1247" ht="27" customHeight="1">
      <x:c r="A1247" s="71" t="str">
        <x:v>乌兹别克斯坦</x:v>
      </x:c>
      <x:c r="B1247" s="71" t="str">
        <x:v>第3组</x:v>
      </x:c>
      <x:c r="C1247" s="71" t="str">
        <x:v>UZS</x:v>
      </x:c>
      <x:c r="D1247" s="71" t="str">
        <x:v>Plus／月</x:v>
      </x:c>
      <x:c r="E1247" s="72" t="n">
        <x:v>95900</x:v>
      </x:c>
      <x:c r="F1247" s="71" t="str">
        <x:v>95 900 soʻm</x:v>
      </x:c>
      <x:c r="G1247" s="71" t="str">
        <x:v>uz-UZ</x:v>
      </x:c>
    </x:row>
    <x:row r="1248" ht="27" customHeight="1">
      <x:c r="A1248" s="71" t="str">
        <x:v>乌兹别克斯坦</x:v>
      </x:c>
      <x:c r="B1248" s="71" t="str">
        <x:v>第3组</x:v>
      </x:c>
      <x:c r="C1248" s="71" t="str">
        <x:v>UZS</x:v>
      </x:c>
      <x:c r="D1248" s="71" t="str">
        <x:v>新Pro／月</x:v>
      </x:c>
      <x:c r="E1248" s="72" t="n">
        <x:v>71900</x:v>
      </x:c>
      <x:c r="F1248" s="71" t="str">
        <x:v>71 900 soʻm</x:v>
      </x:c>
      <x:c r="G1248" s="71" t="str">
        <x:v>uz-UZ</x:v>
      </x:c>
    </x:row>
    <x:row r="1249" ht="27" customHeight="1">
      <x:c r="A1249" s="71" t="str">
        <x:v>乌兹别克斯坦</x:v>
      </x:c>
      <x:c r="B1249" s="71" t="str">
        <x:v>第3组</x:v>
      </x:c>
      <x:c r="C1249" s="71" t="str">
        <x:v>UZS</x:v>
      </x:c>
      <x:c r="D1249" s="71" t="str">
        <x:v>Basic／年</x:v>
      </x:c>
      <x:c r="E1249" s="72" t="n">
        <x:v>229000</x:v>
      </x:c>
      <x:c r="F1249" s="71" t="str">
        <x:v>229 000 soʻm</x:v>
      </x:c>
      <x:c r="G1249" s="71" t="str">
        <x:v>uz-UZ</x:v>
      </x:c>
    </x:row>
    <x:row r="1250" ht="27" customHeight="1">
      <x:c r="A1250" s="71" t="str">
        <x:v>乌兹别克斯坦</x:v>
      </x:c>
      <x:c r="B1250" s="71" t="str">
        <x:v>第3组</x:v>
      </x:c>
      <x:c r="C1250" s="71" t="str">
        <x:v>UZS</x:v>
      </x:c>
      <x:c r="D1250" s="71" t="str">
        <x:v>Plus／年</x:v>
      </x:c>
      <x:c r="E1250" s="72" t="n">
        <x:v>459000</x:v>
      </x:c>
      <x:c r="F1250" s="71" t="str">
        <x:v>459 000 soʻm</x:v>
      </x:c>
      <x:c r="G1250" s="71" t="str">
        <x:v>uz-UZ</x:v>
      </x:c>
    </x:row>
    <x:row r="1251" ht="27" customHeight="1">
      <x:c r="A1251" s="71" t="str">
        <x:v>乌兹别克斯坦</x:v>
      </x:c>
      <x:c r="B1251" s="71" t="str">
        <x:v>第3组</x:v>
      </x:c>
      <x:c r="C1251" s="71" t="str">
        <x:v>UZS</x:v>
      </x:c>
      <x:c r="D1251" s="71" t="str">
        <x:v>新Pro／年</x:v>
      </x:c>
      <x:c r="E1251" s="72" t="n">
        <x:v>862800</x:v>
      </x:c>
      <x:c r="F1251" s="71" t="str">
        <x:v>862 800 soʻm</x:v>
      </x:c>
      <x:c r="G1251" s="71" t="str">
        <x:v>uz-UZ</x:v>
      </x:c>
    </x:row>
    <x:row r="1252" ht="27" customHeight="1">
      <x:c r="A1252" s="71" t="str">
        <x:v>乌兹别克斯坦</x:v>
      </x:c>
      <x:c r="B1252" s="71" t="str">
        <x:v>第3组</x:v>
      </x:c>
      <x:c r="C1252" s="71" t="str">
        <x:v>UZS</x:v>
      </x:c>
      <x:c r="D1252" s="71" t="str">
        <x:v>作业包／3份</x:v>
      </x:c>
      <x:c r="E1252" s="72" t="n">
        <x:v>23900</x:v>
      </x:c>
      <x:c r="F1252" s="71" t="str">
        <x:v>23 900 soʻm</x:v>
      </x:c>
      <x:c r="G1252" s="71" t="str">
        <x:v>uz-UZ</x:v>
      </x:c>
    </x:row>
    <x:row r="1253" ht="27" customHeight="1">
      <x:c r="A1253" s="71" t="str">
        <x:v>乌兹别克斯坦</x:v>
      </x:c>
      <x:c r="B1253" s="71" t="str">
        <x:v>第3组</x:v>
      </x:c>
      <x:c r="C1253" s="71" t="str">
        <x:v>UZS</x:v>
      </x:c>
      <x:c r="D1253" s="71" t="str">
        <x:v>检测包／5份</x:v>
      </x:c>
      <x:c r="E1253" s="72" t="n">
        <x:v>11900</x:v>
      </x:c>
      <x:c r="F1253" s="71" t="str">
        <x:v>11 900 soʻm</x:v>
      </x:c>
      <x:c r="G1253" s="71" t="str">
        <x:v>uz-UZ</x:v>
      </x:c>
    </x:row>
    <x:row r="1254" ht="27" customHeight="1">
      <x:c r="A1254" s="71" t="str">
        <x:v>乌兹别克斯坦</x:v>
      </x:c>
      <x:c r="B1254" s="71" t="str">
        <x:v>第3组</x:v>
      </x:c>
      <x:c r="C1254" s="71" t="str">
        <x:v>UZS</x:v>
      </x:c>
      <x:c r="D1254" s="71" t="str">
        <x:v>Humanizer包／3份</x:v>
      </x:c>
      <x:c r="E1254" s="72" t="n">
        <x:v>16900</x:v>
      </x:c>
      <x:c r="F1254" s="71" t="str">
        <x:v>16 900 soʻm</x:v>
      </x:c>
      <x:c r="G1254" s="71" t="str">
        <x:v>uz-UZ</x:v>
      </x:c>
    </x:row>
    <x:row r="1255" ht="27" customHeight="1">
      <x:c r="A1255" s="71" t="str">
        <x:v>乌兹别克斯坦</x:v>
      </x:c>
      <x:c r="B1255" s="71" t="str">
        <x:v>第3组</x:v>
      </x:c>
      <x:c r="C1255" s="71" t="str">
        <x:v>UZS</x:v>
      </x:c>
      <x:c r="D1255" s="71" t="str">
        <x:v>Study Pass／月</x:v>
      </x:c>
      <x:c r="E1255" s="72" t="n">
        <x:v>7200</x:v>
      </x:c>
      <x:c r="F1255" s="71" t="str">
        <x:v>7 200 soʻm</x:v>
      </x:c>
      <x:c r="G1255" s="71" t="str">
        <x:v>uz-UZ</x:v>
      </x:c>
    </x:row>
  </x:sheetData>
  <x:pageMargins left="0.7" right="0.7" top="0.75" bottom="0.75" header="0.3" footer="0.3"/>
  <x:tableParts count="1">
    <x:tablePart xmlns:r="http://schemas.openxmlformats.org/officeDocument/2006/relationships" r:id="R5ea9dce01d80419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5" hidden="0" customWidth="1"/>
    <x:col min="4" max="4" width="19" hidden="0" customWidth="1"/>
    <x:col min="5" max="5" width="19" hidden="0" customWidth="1"/>
    <x:col min="6" max="6" width="18" hidden="0" customWidth="1"/>
    <x:col min="7" max="7" width="18" hidden="0" customWidth="1"/>
    <x:col min="8" max="8" width="80" hidden="0" customWidth="1"/>
    <x:col min="9" max="9" width="35" hidden="0" customWidth="1"/>
  </x:cols>
  <x:sheetData>
    <x:row r="1" ht="32" customHeight="1">
      <x:c r="A1" s="68" t="str">
        <x:v>国家／地区</x:v>
      </x:c>
      <x:c r="B1" s="68" t="str">
        <x:v>销售币种</x:v>
      </x:c>
      <x:c r="C1" s="68" t="str">
        <x:v>商品／周期</x:v>
      </x:c>
      <x:c r="D1" s="68" t="str">
        <x:v>调整前金额</x:v>
      </x:c>
      <x:c r="E1" s="68" t="str">
        <x:v>批准后金额</x:v>
      </x:c>
      <x:c r="F1" s="68" t="str">
        <x:v>差额</x:v>
      </x:c>
      <x:c r="G1" s="68" t="str">
        <x:v>变化幅度</x:v>
      </x:c>
      <x:c r="H1" s="68" t="str">
        <x:v>批准／调整理由</x:v>
      </x:c>
      <x:c r="I1" s="68" t="str">
        <x:v>依据类型</x:v>
      </x:c>
    </x:row>
    <x:row r="2" ht="30" customHeight="1">
      <x:c r="A2" s="71" t="str">
        <x:v>印度尼西亚</x:v>
      </x:c>
      <x:c r="B2" s="71" t="str">
        <x:v>IDR</x:v>
      </x:c>
      <x:c r="C2" s="71" t="str">
        <x:v>Trial／7天</x:v>
      </x:c>
      <x:c r="D2" s="73" t="n">
        <x:v>13900</x:v>
      </x:c>
      <x:c r="E2" s="73" t="n">
        <x:v>14000</x:v>
      </x:c>
      <x:c r="F2" s="77" t="n">
        <x:f>ROUND(E2-D2,2)</x:f>
        <x:v>100</x:v>
      </x:c>
      <x:c r="G2" s="78" t="n">
        <x:f>F2/D2</x:f>
        <x:v>0.007194244604316547</x:v>
      </x:c>
      <x:c r="H2" s="79" t="str">
        <x:v>参考当地整千订阅写法，将百位零碎尾数就近收至整千。</x:v>
      </x:c>
      <x:c r="I2" s="71" t="str">
        <x:v>参考地区报价形式，用户已批准</x:v>
      </x:c>
    </x:row>
    <x:row r="3" ht="30" customHeight="1">
      <x:c r="A3" s="71" t="str">
        <x:v>印度尼西亚</x:v>
      </x:c>
      <x:c r="B3" s="71" t="str">
        <x:v>IDR</x:v>
      </x:c>
      <x:c r="C3" s="71" t="str">
        <x:v>Basic／月</x:v>
      </x:c>
      <x:c r="D3" s="73" t="n">
        <x:v>89900</x:v>
      </x:c>
      <x:c r="E3" s="73" t="n">
        <x:v>90000</x:v>
      </x:c>
      <x:c r="F3" s="77" t="n">
        <x:f>ROUND(E3-D3,2)</x:f>
        <x:v>100</x:v>
      </x:c>
      <x:c r="G3" s="78" t="n">
        <x:f>F3/D3</x:f>
        <x:v>0.0011123470522803114</x:v>
      </x:c>
      <x:c r="H3" s="79" t="str">
        <x:v>参考当地整千订阅写法，将百位零碎尾数就近收至整千。</x:v>
      </x:c>
      <x:c r="I3" s="71" t="str">
        <x:v>参考地区报价形式，用户已批准</x:v>
      </x:c>
    </x:row>
    <x:row r="4" ht="30" customHeight="1">
      <x:c r="A4" s="71" t="str">
        <x:v>印度尼西亚</x:v>
      </x:c>
      <x:c r="B4" s="71" t="str">
        <x:v>IDR</x:v>
      </x:c>
      <x:c r="C4" s="71" t="str">
        <x:v>作业包／3份</x:v>
      </x:c>
      <x:c r="D4" s="73" t="n">
        <x:v>44900</x:v>
      </x:c>
      <x:c r="E4" s="73" t="n">
        <x:v>45000</x:v>
      </x:c>
      <x:c r="F4" s="77" t="n">
        <x:f>ROUND(E4-D4,2)</x:f>
        <x:v>100</x:v>
      </x:c>
      <x:c r="G4" s="78" t="n">
        <x:f>F4/D4</x:f>
        <x:v>0.0022271714922048997</x:v>
      </x:c>
      <x:c r="H4" s="79" t="str">
        <x:v>参考当地整千订阅写法，将百位零碎尾数就近收至整千。</x:v>
      </x:c>
      <x:c r="I4" s="71" t="str">
        <x:v>参考地区报价形式，用户已批准</x:v>
      </x:c>
    </x:row>
    <x:row r="5" ht="30" customHeight="1">
      <x:c r="A5" s="71" t="str">
        <x:v>印度尼西亚</x:v>
      </x:c>
      <x:c r="B5" s="71" t="str">
        <x:v>IDR</x:v>
      </x:c>
      <x:c r="C5" s="71" t="str">
        <x:v>检测包／5份</x:v>
      </x:c>
      <x:c r="D5" s="73" t="n">
        <x:v>22900</x:v>
      </x:c>
      <x:c r="E5" s="73" t="n">
        <x:v>23000</x:v>
      </x:c>
      <x:c r="F5" s="77" t="n">
        <x:f>ROUND(E5-D5,2)</x:f>
        <x:v>100</x:v>
      </x:c>
      <x:c r="G5" s="78" t="n">
        <x:f>F5/D5</x:f>
        <x:v>0.004366812227074236</x:v>
      </x:c>
      <x:c r="H5" s="79" t="str">
        <x:v>参考当地整千订阅写法，将百位零碎尾数就近收至整千。</x:v>
      </x:c>
      <x:c r="I5" s="71" t="str">
        <x:v>参考地区报价形式，用户已批准</x:v>
      </x:c>
    </x:row>
    <x:row r="6" ht="30" customHeight="1">
      <x:c r="A6" s="71" t="str">
        <x:v>印度尼西亚</x:v>
      </x:c>
      <x:c r="B6" s="71" t="str">
        <x:v>IDR</x:v>
      </x:c>
      <x:c r="C6" s="71" t="str">
        <x:v>Humanizer包／3份</x:v>
      </x:c>
      <x:c r="D6" s="73" t="n">
        <x:v>31900</x:v>
      </x:c>
      <x:c r="E6" s="73" t="n">
        <x:v>32000</x:v>
      </x:c>
      <x:c r="F6" s="77" t="n">
        <x:f>ROUND(E6-D6,2)</x:f>
        <x:v>100</x:v>
      </x:c>
      <x:c r="G6" s="78" t="n">
        <x:f>F6/D6</x:f>
        <x:v>0.003134796238244514</x:v>
      </x:c>
      <x:c r="H6" s="79" t="str">
        <x:v>参考当地整千订阅写法，将百位零碎尾数就近收至整千。</x:v>
      </x:c>
      <x:c r="I6" s="71" t="str">
        <x:v>参考地区报价形式，用户已批准</x:v>
      </x:c>
    </x:row>
    <x:row r="7" ht="30" customHeight="1">
      <x:c r="A7" s="71" t="str">
        <x:v>瑞典</x:v>
      </x:c>
      <x:c r="B7" s="71" t="str">
        <x:v>SEK</x:v>
      </x:c>
      <x:c r="C7" s="71" t="str">
        <x:v>Trial／7天</x:v>
      </x:c>
      <x:c r="D7" s="73" t="n">
        <x:v>24.99</x:v>
      </x:c>
      <x:c r="E7" s="73" t="n">
        <x:v>25</x:v>
      </x:c>
      <x:c r="F7" s="77" t="n">
        <x:f>ROUND(E7-D7,2)</x:f>
        <x:v>0.01</x:v>
      </x:c>
      <x:c r="G7" s="78" t="n">
        <x:f>F7/D7</x:f>
        <x:v>0.00040016006402561027</x:v>
      </x:c>
      <x:c r="H7" s="79" t="str">
        <x:v>参考当地整克朗订阅报价，以最近整数克朗简化两位尾数。</x:v>
      </x:c>
      <x:c r="I7" s="71" t="str">
        <x:v>参考地区报价形式，用户已批准</x:v>
      </x:c>
    </x:row>
    <x:row r="8" ht="30" customHeight="1">
      <x:c r="A8" s="71" t="str">
        <x:v>瑞典</x:v>
      </x:c>
      <x:c r="B8" s="71" t="str">
        <x:v>SEK</x:v>
      </x:c>
      <x:c r="C8" s="71" t="str">
        <x:v>Basic／月</x:v>
      </x:c>
      <x:c r="D8" s="73" t="n">
        <x:v>167.99</x:v>
      </x:c>
      <x:c r="E8" s="73" t="n">
        <x:v>168</x:v>
      </x:c>
      <x:c r="F8" s="77" t="n">
        <x:f>ROUND(E8-D8,2)</x:f>
        <x:v>0.01</x:v>
      </x:c>
      <x:c r="G8" s="78" t="n">
        <x:f>F8/D8</x:f>
        <x:v>0.00005952735281862015</x:v>
      </x:c>
      <x:c r="H8" s="79" t="str">
        <x:v>参考当地整克朗订阅报价，以最近整数克朗简化两位尾数。</x:v>
      </x:c>
      <x:c r="I8" s="71" t="str">
        <x:v>参考地区报价形式，用户已批准</x:v>
      </x:c>
    </x:row>
    <x:row r="9" ht="30" customHeight="1">
      <x:c r="A9" s="71" t="str">
        <x:v>瑞典</x:v>
      </x:c>
      <x:c r="B9" s="71" t="str">
        <x:v>SEK</x:v>
      </x:c>
      <x:c r="C9" s="71" t="str">
        <x:v>Plus／月</x:v>
      </x:c>
      <x:c r="D9" s="73" t="n">
        <x:v>336.99</x:v>
      </x:c>
      <x:c r="E9" s="73" t="n">
        <x:v>337</x:v>
      </x:c>
      <x:c r="F9" s="77" t="n">
        <x:f>ROUND(E9-D9,2)</x:f>
        <x:v>0.01</x:v>
      </x:c>
      <x:c r="G9" s="78" t="n">
        <x:f>F9/D9</x:f>
        <x:v>0.000029674471052553488</x:v>
      </x:c>
      <x:c r="H9" s="79" t="str">
        <x:v>参考当地整克朗订阅报价，以最近整数克朗简化两位尾数。</x:v>
      </x:c>
      <x:c r="I9" s="71" t="str">
        <x:v>参考地区报价形式，用户已批准</x:v>
      </x:c>
    </x:row>
    <x:row r="10" ht="30" customHeight="1">
      <x:c r="A10" s="71" t="str">
        <x:v>瑞典</x:v>
      </x:c>
      <x:c r="B10" s="71" t="str">
        <x:v>SEK</x:v>
      </x:c>
      <x:c r="C10" s="71" t="str">
        <x:v>新Pro／月</x:v>
      </x:c>
      <x:c r="D10" s="73" t="n">
        <x:v>252.99</x:v>
      </x:c>
      <x:c r="E10" s="73" t="n">
        <x:v>253</x:v>
      </x:c>
      <x:c r="F10" s="77" t="n">
        <x:f>ROUND(E10-D10,2)</x:f>
        <x:v>0.01</x:v>
      </x:c>
      <x:c r="G10" s="78" t="n">
        <x:f>F10/D10</x:f>
        <x:v>0.000039527254041661726</x:v>
      </x:c>
      <x:c r="H10" s="79" t="str">
        <x:v>参考当地整克朗订阅报价，以最近整数克朗简化两位尾数。</x:v>
      </x:c>
      <x:c r="I10" s="71" t="str">
        <x:v>参考地区报价形式，用户已批准</x:v>
      </x:c>
    </x:row>
    <x:row r="11" ht="30" customHeight="1">
      <x:c r="A11" s="71" t="str">
        <x:v>瑞典</x:v>
      </x:c>
      <x:c r="B11" s="71" t="str">
        <x:v>SEK</x:v>
      </x:c>
      <x:c r="C11" s="71" t="str">
        <x:v>Basic／年</x:v>
      </x:c>
      <x:c r="D11" s="73" t="n">
        <x:v>807.99</x:v>
      </x:c>
      <x:c r="E11" s="73" t="n">
        <x:v>808</x:v>
      </x:c>
      <x:c r="F11" s="77" t="n">
        <x:f>ROUND(E11-D11,2)</x:f>
        <x:v>0.01</x:v>
      </x:c>
      <x:c r="G11" s="78" t="n">
        <x:f>F11/D11</x:f>
        <x:v>0.000012376390796915803</x:v>
      </x:c>
      <x:c r="H11" s="79" t="str">
        <x:v>参考当地整克朗订阅报价，以最近整数克朗简化两位尾数。</x:v>
      </x:c>
      <x:c r="I11" s="71" t="str">
        <x:v>参考地区报价形式，用户已批准</x:v>
      </x:c>
    </x:row>
    <x:row r="12" ht="30" customHeight="1">
      <x:c r="A12" s="71" t="str">
        <x:v>瑞典</x:v>
      </x:c>
      <x:c r="B12" s="71" t="str">
        <x:v>SEK</x:v>
      </x:c>
      <x:c r="C12" s="71" t="str">
        <x:v>Plus／年</x:v>
      </x:c>
      <x:c r="D12" s="73" t="n">
        <x:v>1615.99</x:v>
      </x:c>
      <x:c r="E12" s="73" t="n">
        <x:v>1616</x:v>
      </x:c>
      <x:c r="F12" s="77" t="n">
        <x:f>ROUND(E12-D12,2)</x:f>
        <x:v>0.01</x:v>
      </x:c>
      <x:c r="G12" s="78" t="n">
        <x:f>F12/D12</x:f>
        <x:v>0.0000061881571049325805</x:v>
      </x:c>
      <x:c r="H12" s="79" t="str">
        <x:v>参考当地整克朗订阅报价，以最近整数克朗简化两位尾数。</x:v>
      </x:c>
      <x:c r="I12" s="71" t="str">
        <x:v>参考地区报价形式，用户已批准</x:v>
      </x:c>
    </x:row>
    <x:row r="13" ht="30" customHeight="1">
      <x:c r="A13" s="71" t="str">
        <x:v>瑞典</x:v>
      </x:c>
      <x:c r="B13" s="71" t="str">
        <x:v>SEK</x:v>
      </x:c>
      <x:c r="C13" s="71" t="str">
        <x:v>新Pro／年</x:v>
      </x:c>
      <x:c r="D13" s="73" t="n">
        <x:v>3035.88</x:v>
      </x:c>
      <x:c r="E13" s="73" t="n">
        <x:v>3036</x:v>
      </x:c>
      <x:c r="F13" s="77" t="n">
        <x:f>ROUND(E13-D13,2)</x:f>
        <x:v>0.12</x:v>
      </x:c>
      <x:c r="G13" s="78" t="n">
        <x:f>F13/D13</x:f>
        <x:v>0.00003952725404166172</x:v>
      </x:c>
      <x:c r="H13" s="79" t="str">
        <x:v>建议月价联动×12，保留既有Pro年价关系；不另改年付折扣。</x:v>
      </x:c>
      <x:c r="I13" s="71" t="str">
        <x:v>参考地区报价形式，用户已批准</x:v>
      </x:c>
    </x:row>
    <x:row r="14" ht="30" customHeight="1">
      <x:c r="A14" s="71" t="str">
        <x:v>瑞典</x:v>
      </x:c>
      <x:c r="B14" s="71" t="str">
        <x:v>SEK</x:v>
      </x:c>
      <x:c r="C14" s="71" t="str">
        <x:v>作业包／3份</x:v>
      </x:c>
      <x:c r="D14" s="73" t="n">
        <x:v>83.99</x:v>
      </x:c>
      <x:c r="E14" s="73" t="n">
        <x:v>84</x:v>
      </x:c>
      <x:c r="F14" s="77" t="n">
        <x:f>ROUND(E14-D14,2)</x:f>
        <x:v>0.01</x:v>
      </x:c>
      <x:c r="G14" s="78" t="n">
        <x:f>F14/D14</x:f>
        <x:v>0.00011906179307060366</x:v>
      </x:c>
      <x:c r="H14" s="79" t="str">
        <x:v>参考当地整克朗订阅报价，以最近整数克朗简化两位尾数。</x:v>
      </x:c>
      <x:c r="I14" s="71" t="str">
        <x:v>参考地区报价形式，用户已批准</x:v>
      </x:c>
    </x:row>
    <x:row r="15" ht="30" customHeight="1">
      <x:c r="A15" s="71" t="str">
        <x:v>瑞典</x:v>
      </x:c>
      <x:c r="B15" s="71" t="str">
        <x:v>SEK</x:v>
      </x:c>
      <x:c r="C15" s="71" t="str">
        <x:v>检测包／5份</x:v>
      </x:c>
      <x:c r="D15" s="73" t="n">
        <x:v>41.99</x:v>
      </x:c>
      <x:c r="E15" s="73" t="n">
        <x:v>42</x:v>
      </x:c>
      <x:c r="F15" s="77" t="n">
        <x:f>ROUND(E15-D15,2)</x:f>
        <x:v>0.01</x:v>
      </x:c>
      <x:c r="G15" s="78" t="n">
        <x:f>F15/D15</x:f>
        <x:v>0.00023815194093831864</x:v>
      </x:c>
      <x:c r="H15" s="79" t="str">
        <x:v>参考当地整克朗订阅报价，以最近整数克朗简化两位尾数。</x:v>
      </x:c>
      <x:c r="I15" s="71" t="str">
        <x:v>参考地区报价形式，用户已批准</x:v>
      </x:c>
    </x:row>
    <x:row r="16" ht="30" customHeight="1">
      <x:c r="A16" s="71" t="str">
        <x:v>瑞典</x:v>
      </x:c>
      <x:c r="B16" s="71" t="str">
        <x:v>SEK</x:v>
      </x:c>
      <x:c r="C16" s="71" t="str">
        <x:v>Humanizer包／3份</x:v>
      </x:c>
      <x:c r="D16" s="73" t="n">
        <x:v>58.99</x:v>
      </x:c>
      <x:c r="E16" s="73" t="n">
        <x:v>59</x:v>
      </x:c>
      <x:c r="F16" s="77" t="n">
        <x:f>ROUND(E16-D16,2)</x:f>
        <x:v>0.01</x:v>
      </x:c>
      <x:c r="G16" s="78" t="n">
        <x:f>F16/D16</x:f>
        <x:v>0.00016952025767079165</x:v>
      </x:c>
      <x:c r="H16" s="79" t="str">
        <x:v>参考当地整克朗订阅报价，以最近整数克朗简化两位尾数。</x:v>
      </x:c>
      <x:c r="I16" s="71" t="str">
        <x:v>参考地区报价形式，用户已批准</x:v>
      </x:c>
    </x:row>
    <x:row r="17" ht="30" customHeight="1">
      <x:c r="A17" s="71" t="str">
        <x:v>巴西</x:v>
      </x:c>
      <x:c r="B17" s="71" t="str">
        <x:v>BRL</x:v>
      </x:c>
      <x:c r="C17" s="71" t="str">
        <x:v>Trial／7天</x:v>
      </x:c>
      <x:c r="D17" s="73" t="n">
        <x:v>5.99</x:v>
      </x:c>
      <x:c r="E17" s="73" t="n">
        <x:v>5.9</x:v>
      </x:c>
      <x:c r="F17" s="77" t="n">
        <x:f>ROUND(E17-D17,2)</x:f>
        <x:v>-0.09</x:v>
      </x:c>
      <x:c r="G17" s="78" t="n">
        <x:f>F17/D17</x:f>
        <x:v>-0.015025041736227044</x:v>
      </x:c>
      <x:c r="H17" s="79" t="str">
        <x:v>参考巴西订阅的,90尾数，将.99小幅收至.90，保持原价格档位。</x:v>
      </x:c>
      <x:c r="I17" s="71" t="str">
        <x:v>参考地区报价形式，用户已批准</x:v>
      </x:c>
    </x:row>
    <x:row r="18" ht="30" customHeight="1">
      <x:c r="A18" s="71" t="str">
        <x:v>巴西</x:v>
      </x:c>
      <x:c r="B18" s="71" t="str">
        <x:v>BRL</x:v>
      </x:c>
      <x:c r="C18" s="71" t="str">
        <x:v>Basic／月</x:v>
      </x:c>
      <x:c r="D18" s="73" t="n">
        <x:v>40.99</x:v>
      </x:c>
      <x:c r="E18" s="73" t="n">
        <x:v>40.9</x:v>
      </x:c>
      <x:c r="F18" s="77" t="n">
        <x:f>ROUND(E18-D18,2)</x:f>
        <x:v>-0.09</x:v>
      </x:c>
      <x:c r="G18" s="78" t="n">
        <x:f>F18/D18</x:f>
        <x:v>-0.00219565747743352</x:v>
      </x:c>
      <x:c r="H18" s="79" t="str">
        <x:v>参考巴西订阅的,90尾数，将.99小幅收至.90，保持原价格档位。</x:v>
      </x:c>
      <x:c r="I18" s="71" t="str">
        <x:v>参考地区报价形式，用户已批准</x:v>
      </x:c>
    </x:row>
    <x:row r="19" ht="30" customHeight="1">
      <x:c r="A19" s="71" t="str">
        <x:v>巴西</x:v>
      </x:c>
      <x:c r="B19" s="71" t="str">
        <x:v>BRL</x:v>
      </x:c>
      <x:c r="C19" s="71" t="str">
        <x:v>Plus／月</x:v>
      </x:c>
      <x:c r="D19" s="73" t="n">
        <x:v>80.99</x:v>
      </x:c>
      <x:c r="E19" s="73" t="n">
        <x:v>80.9</x:v>
      </x:c>
      <x:c r="F19" s="77" t="n">
        <x:f>ROUND(E19-D19,2)</x:f>
        <x:v>-0.09</x:v>
      </x:c>
      <x:c r="G19" s="78" t="n">
        <x:f>F19/D19</x:f>
        <x:v>-0.0011112483022595382</x:v>
      </x:c>
      <x:c r="H19" s="79" t="str">
        <x:v>参考巴西订阅的,90尾数，将.99小幅收至.90，保持原价格档位。</x:v>
      </x:c>
      <x:c r="I19" s="71" t="str">
        <x:v>参考地区报价形式，用户已批准</x:v>
      </x:c>
    </x:row>
    <x:row r="20" ht="30" customHeight="1">
      <x:c r="A20" s="71" t="str">
        <x:v>巴西</x:v>
      </x:c>
      <x:c r="B20" s="71" t="str">
        <x:v>BRL</x:v>
      </x:c>
      <x:c r="C20" s="71" t="str">
        <x:v>新Pro／月</x:v>
      </x:c>
      <x:c r="D20" s="73" t="n">
        <x:v>60.99</x:v>
      </x:c>
      <x:c r="E20" s="73" t="n">
        <x:v>60.9</x:v>
      </x:c>
      <x:c r="F20" s="77" t="n">
        <x:f>ROUND(E20-D20,2)</x:f>
        <x:v>-0.09</x:v>
      </x:c>
      <x:c r="G20" s="78" t="n">
        <x:f>F20/D20</x:f>
        <x:v>-0.0014756517461878996</x:v>
      </x:c>
      <x:c r="H20" s="79" t="str">
        <x:v>参考巴西订阅的,90尾数，将.99小幅收至.90，保持原价格档位。</x:v>
      </x:c>
      <x:c r="I20" s="71" t="str">
        <x:v>参考地区报价形式，用户已批准</x:v>
      </x:c>
    </x:row>
    <x:row r="21" ht="30" customHeight="1">
      <x:c r="A21" s="71" t="str">
        <x:v>巴西</x:v>
      </x:c>
      <x:c r="B21" s="71" t="str">
        <x:v>BRL</x:v>
      </x:c>
      <x:c r="C21" s="71" t="str">
        <x:v>Basic／年</x:v>
      </x:c>
      <x:c r="D21" s="73" t="n">
        <x:v>194.99</x:v>
      </x:c>
      <x:c r="E21" s="73" t="n">
        <x:v>194.9</x:v>
      </x:c>
      <x:c r="F21" s="77" t="n">
        <x:f>ROUND(E21-D21,2)</x:f>
        <x:v>-0.09</x:v>
      </x:c>
      <x:c r="G21" s="78" t="n">
        <x:f>F21/D21</x:f>
        <x:v>-0.00046156213139135336</x:v>
      </x:c>
      <x:c r="H21" s="79" t="str">
        <x:v>参考巴西订阅的,90尾数，将.99小幅收至.90，保持原价格档位。</x:v>
      </x:c>
      <x:c r="I21" s="71" t="str">
        <x:v>参考地区报价形式，用户已批准</x:v>
      </x:c>
    </x:row>
    <x:row r="22" ht="30" customHeight="1">
      <x:c r="A22" s="71" t="str">
        <x:v>巴西</x:v>
      </x:c>
      <x:c r="B22" s="71" t="str">
        <x:v>BRL</x:v>
      </x:c>
      <x:c r="C22" s="71" t="str">
        <x:v>Plus／年</x:v>
      </x:c>
      <x:c r="D22" s="73" t="n">
        <x:v>390.99</x:v>
      </x:c>
      <x:c r="E22" s="73" t="n">
        <x:v>390.9</x:v>
      </x:c>
      <x:c r="F22" s="77" t="n">
        <x:f>ROUND(E22-D22,2)</x:f>
        <x:v>-0.09</x:v>
      </x:c>
      <x:c r="G22" s="78" t="n">
        <x:f>F22/D22</x:f>
        <x:v>-0.0002301849152152229</x:v>
      </x:c>
      <x:c r="H22" s="79" t="str">
        <x:v>参考巴西订阅的,90尾数，将.99小幅收至.90，保持原价格档位。</x:v>
      </x:c>
      <x:c r="I22" s="71" t="str">
        <x:v>参考地区报价形式，用户已批准</x:v>
      </x:c>
    </x:row>
    <x:row r="23" ht="30" customHeight="1">
      <x:c r="A23" s="71" t="str">
        <x:v>巴西</x:v>
      </x:c>
      <x:c r="B23" s="71" t="str">
        <x:v>BRL</x:v>
      </x:c>
      <x:c r="C23" s="71" t="str">
        <x:v>新Pro／年</x:v>
      </x:c>
      <x:c r="D23" s="73" t="n">
        <x:v>731.88</x:v>
      </x:c>
      <x:c r="E23" s="73" t="n">
        <x:v>730.8</x:v>
      </x:c>
      <x:c r="F23" s="77" t="n">
        <x:f>ROUND(E23-D23,2)</x:f>
        <x:v>-1.08</x:v>
      </x:c>
      <x:c r="G23" s="78" t="n">
        <x:f>F23/D23</x:f>
        <x:v>-0.0014756517461878998</x:v>
      </x:c>
      <x:c r="H23" s="79" t="str">
        <x:v>建议月价联动×12，保留既有Pro年价关系；不另改年付折扣。</x:v>
      </x:c>
      <x:c r="I23" s="71" t="str">
        <x:v>参考地区报价形式，用户已批准</x:v>
      </x:c>
    </x:row>
    <x:row r="24" ht="30" customHeight="1">
      <x:c r="A24" s="71" t="str">
        <x:v>巴西</x:v>
      </x:c>
      <x:c r="B24" s="71" t="str">
        <x:v>BRL</x:v>
      </x:c>
      <x:c r="C24" s="71" t="str">
        <x:v>作业包／3份</x:v>
      </x:c>
      <x:c r="D24" s="73" t="n">
        <x:v>19.99</x:v>
      </x:c>
      <x:c r="E24" s="73" t="n">
        <x:v>19.9</x:v>
      </x:c>
      <x:c r="F24" s="77" t="n">
        <x:f>ROUND(E24-D24,2)</x:f>
        <x:v>-0.09</x:v>
      </x:c>
      <x:c r="G24" s="78" t="n">
        <x:f>F24/D24</x:f>
        <x:v>-0.004502251125562781</x:v>
      </x:c>
      <x:c r="H24" s="79" t="str">
        <x:v>参考巴西订阅的,90尾数，将.99小幅收至.90，保持原价格档位。</x:v>
      </x:c>
      <x:c r="I24" s="71" t="str">
        <x:v>参考地区报价形式，用户已批准</x:v>
      </x:c>
    </x:row>
    <x:row r="25" ht="30" customHeight="1">
      <x:c r="A25" s="71" t="str">
        <x:v>巴西</x:v>
      </x:c>
      <x:c r="B25" s="71" t="str">
        <x:v>BRL</x:v>
      </x:c>
      <x:c r="C25" s="71" t="str">
        <x:v>检测包／5份</x:v>
      </x:c>
      <x:c r="D25" s="73" t="n">
        <x:v>9.99</x:v>
      </x:c>
      <x:c r="E25" s="73" t="n">
        <x:v>9.9</x:v>
      </x:c>
      <x:c r="F25" s="77" t="n">
        <x:f>ROUND(E25-D25,2)</x:f>
        <x:v>-0.09</x:v>
      </x:c>
      <x:c r="G25" s="78" t="n">
        <x:f>F25/D25</x:f>
        <x:v>-0.009009009009009009</x:v>
      </x:c>
      <x:c r="H25" s="79" t="str">
        <x:v>参考巴西订阅的,90尾数，将.99小幅收至.90，保持原价格档位。</x:v>
      </x:c>
      <x:c r="I25" s="71" t="str">
        <x:v>参考地区报价形式，用户已批准</x:v>
      </x:c>
    </x:row>
    <x:row r="26" ht="30" customHeight="1">
      <x:c r="A26" s="71" t="str">
        <x:v>巴西</x:v>
      </x:c>
      <x:c r="B26" s="71" t="str">
        <x:v>BRL</x:v>
      </x:c>
      <x:c r="C26" s="71" t="str">
        <x:v>Humanizer包／3份</x:v>
      </x:c>
      <x:c r="D26" s="73" t="n">
        <x:v>13.99</x:v>
      </x:c>
      <x:c r="E26" s="73" t="n">
        <x:v>13.9</x:v>
      </x:c>
      <x:c r="F26" s="77" t="n">
        <x:f>ROUND(E26-D26,2)</x:f>
        <x:v>-0.09</x:v>
      </x:c>
      <x:c r="G26" s="78" t="n">
        <x:f>F26/D26</x:f>
        <x:v>-0.006433166547533953</x:v>
      </x:c>
      <x:c r="H26" s="79" t="str">
        <x:v>参考巴西订阅的,90尾数，将.99小幅收至.90，保持原价格档位。</x:v>
      </x:c>
      <x:c r="I26" s="71" t="str">
        <x:v>参考地区报价形式，用户已批准</x:v>
      </x:c>
    </x:row>
    <x:row r="27" ht="30" customHeight="1">
      <x:c r="A27" s="71" t="str">
        <x:v>越南</x:v>
      </x:c>
      <x:c r="B27" s="71" t="str">
        <x:v>VND</x:v>
      </x:c>
      <x:c r="C27" s="71" t="str">
        <x:v>Trial／7天</x:v>
      </x:c>
      <x:c r="D27" s="73" t="n">
        <x:v>18900</x:v>
      </x:c>
      <x:c r="E27" s="73" t="n">
        <x:v>19000</x:v>
      </x:c>
      <x:c r="F27" s="77" t="n">
        <x:f>ROUND(E27-D27,2)</x:f>
        <x:v>100</x:v>
      </x:c>
      <x:c r="G27" s="78" t="n">
        <x:f>F27/D27</x:f>
        <x:v>0.005291005291005291</x:v>
      </x:c>
      <x:c r="H27" s="79" t="str">
        <x:v>参考当地整千订阅写法，将百位零碎尾数就近收至整千。</x:v>
      </x:c>
      <x:c r="I27" s="71" t="str">
        <x:v>参考地区报价形式，用户已批准</x:v>
      </x:c>
    </x:row>
    <x:row r="28" ht="30" customHeight="1">
      <x:c r="A28" s="71" t="str">
        <x:v>越南</x:v>
      </x:c>
      <x:c r="B28" s="71" t="str">
        <x:v>VND</x:v>
      </x:c>
      <x:c r="C28" s="71" t="str">
        <x:v>作业包／3份</x:v>
      </x:c>
      <x:c r="D28" s="73" t="n">
        <x:v>64900</x:v>
      </x:c>
      <x:c r="E28" s="73" t="n">
        <x:v>65000</x:v>
      </x:c>
      <x:c r="F28" s="77" t="n">
        <x:f>ROUND(E28-D28,2)</x:f>
        <x:v>100</x:v>
      </x:c>
      <x:c r="G28" s="78" t="n">
        <x:f>F28/D28</x:f>
        <x:v>0.0015408320493066256</x:v>
      </x:c>
      <x:c r="H28" s="79" t="str">
        <x:v>参考当地整千订阅写法，将百位零碎尾数就近收至整千。</x:v>
      </x:c>
      <x:c r="I28" s="71" t="str">
        <x:v>参考地区报价形式，用户已批准</x:v>
      </x:c>
    </x:row>
    <x:row r="29" ht="30" customHeight="1">
      <x:c r="A29" s="71" t="str">
        <x:v>越南</x:v>
      </x:c>
      <x:c r="B29" s="71" t="str">
        <x:v>VND</x:v>
      </x:c>
      <x:c r="C29" s="71" t="str">
        <x:v>检测包／5份</x:v>
      </x:c>
      <x:c r="D29" s="73" t="n">
        <x:v>31900</x:v>
      </x:c>
      <x:c r="E29" s="73" t="n">
        <x:v>32000</x:v>
      </x:c>
      <x:c r="F29" s="77" t="n">
        <x:f>ROUND(E29-D29,2)</x:f>
        <x:v>100</x:v>
      </x:c>
      <x:c r="G29" s="78" t="n">
        <x:f>F29/D29</x:f>
        <x:v>0.003134796238244514</x:v>
      </x:c>
      <x:c r="H29" s="79" t="str">
        <x:v>参考当地整千订阅写法，将百位零碎尾数就近收至整千。</x:v>
      </x:c>
      <x:c r="I29" s="71" t="str">
        <x:v>参考地区报价形式，用户已批准</x:v>
      </x:c>
    </x:row>
    <x:row r="30" ht="30" customHeight="1">
      <x:c r="A30" s="71" t="str">
        <x:v>越南</x:v>
      </x:c>
      <x:c r="B30" s="71" t="str">
        <x:v>VND</x:v>
      </x:c>
      <x:c r="C30" s="71" t="str">
        <x:v>Humanizer包／3份</x:v>
      </x:c>
      <x:c r="D30" s="73" t="n">
        <x:v>44900</x:v>
      </x:c>
      <x:c r="E30" s="73" t="n">
        <x:v>45000</x:v>
      </x:c>
      <x:c r="F30" s="77" t="n">
        <x:f>ROUND(E30-D30,2)</x:f>
        <x:v>100</x:v>
      </x:c>
      <x:c r="G30" s="78" t="n">
        <x:f>F30/D30</x:f>
        <x:v>0.0022271714922048997</x:v>
      </x:c>
      <x:c r="H30" s="79" t="str">
        <x:v>参考当地整千订阅写法，将百位零碎尾数就近收至整千。</x:v>
      </x:c>
      <x:c r="I30" s="71" t="str">
        <x:v>参考地区报价形式，用户已批准</x:v>
      </x:c>
    </x:row>
    <x:row r="31" ht="30" customHeight="1">
      <x:c r="A31" s="71" t="str">
        <x:v>科威特</x:v>
      </x:c>
      <x:c r="B31" s="71" t="str">
        <x:v>USD</x:v>
      </x:c>
      <x:c r="C31" s="71" t="str">
        <x:v>Trial／7天</x:v>
      </x:c>
      <x:c r="D31" s="73" t="n">
        <x:v>1.94</x:v>
      </x:c>
      <x:c r="E31" s="73" t="n">
        <x:v>1.95</x:v>
      </x:c>
      <x:c r="F31" s="77" t="n">
        <x:f>ROUND(E31-D31,2)</x:f>
        <x:v>0.01</x:v>
      </x:c>
      <x:c r="G31" s="78" t="n">
        <x:f>F31/D31</x:f>
        <x:v>0.005154639175257732</x:v>
      </x:c>
      <x:c r="H31" s="79" t="str">
        <x:v>编辑建议：倍率零碎尾数就近收至0.05，如1.94→1.95、62.32→62.30。</x:v>
      </x:c>
      <x:c r="I31" s="71" t="str">
        <x:v>编辑判断已获用户批准</x:v>
      </x:c>
    </x:row>
    <x:row r="32" ht="30" customHeight="1">
      <x:c r="A32" s="71" t="str">
        <x:v>科威特</x:v>
      </x:c>
      <x:c r="B32" s="71" t="str">
        <x:v>USD</x:v>
      </x:c>
      <x:c r="C32" s="71" t="str">
        <x:v>Basic／年</x:v>
      </x:c>
      <x:c r="D32" s="73" t="n">
        <x:v>62.32</x:v>
      </x:c>
      <x:c r="E32" s="73" t="n">
        <x:v>62.3</x:v>
      </x:c>
      <x:c r="F32" s="77" t="n">
        <x:f>ROUND(E32-D32,2)</x:f>
        <x:v>-0.02</x:v>
      </x:c>
      <x:c r="G32" s="78" t="n">
        <x:f>F32/D32</x:f>
        <x:v>-0.0003209242618741977</x:v>
      </x:c>
      <x:c r="H32" s="79" t="str">
        <x:v>编辑建议：倍率零碎尾数就近收至0.05，如1.94→1.95、62.32→62.30。</x:v>
      </x:c>
      <x:c r="I32" s="71" t="str">
        <x:v>编辑判断已获用户批准</x:v>
      </x:c>
    </x:row>
    <x:row r="33" ht="30" customHeight="1">
      <x:c r="A33" s="71" t="str">
        <x:v>科威特</x:v>
      </x:c>
      <x:c r="B33" s="71" t="str">
        <x:v>USD</x:v>
      </x:c>
      <x:c r="C33" s="71" t="str">
        <x:v>Plus／年</x:v>
      </x:c>
      <x:c r="D33" s="73" t="n">
        <x:v>124.72</x:v>
      </x:c>
      <x:c r="E33" s="73" t="n">
        <x:v>124.7</x:v>
      </x:c>
      <x:c r="F33" s="77" t="n">
        <x:f>ROUND(E33-D33,2)</x:f>
        <x:v>-0.02</x:v>
      </x:c>
      <x:c r="G33" s="78" t="n">
        <x:f>F33/D33</x:f>
        <x:v>-0.0001603592046183451</x:v>
      </x:c>
      <x:c r="H33" s="79" t="str">
        <x:v>编辑建议：倍率零碎尾数就近收至0.05，如1.94→1.95、62.32→62.30。</x:v>
      </x:c>
      <x:c r="I33" s="71" t="str">
        <x:v>编辑判断已获用户批准</x:v>
      </x:c>
    </x:row>
    <x:row r="34" ht="30" customHeight="1">
      <x:c r="A34" s="71" t="str">
        <x:v>科威特</x:v>
      </x:c>
      <x:c r="B34" s="71" t="str">
        <x:v>USD</x:v>
      </x:c>
      <x:c r="C34" s="71" t="str">
        <x:v>检测包／5份</x:v>
      </x:c>
      <x:c r="D34" s="73" t="n">
        <x:v>3.24</x:v>
      </x:c>
      <x:c r="E34" s="73" t="n">
        <x:v>3.25</x:v>
      </x:c>
      <x:c r="F34" s="77" t="n">
        <x:f>ROUND(E34-D34,2)</x:f>
        <x:v>0.01</x:v>
      </x:c>
      <x:c r="G34" s="78" t="n">
        <x:f>F34/D34</x:f>
        <x:v>0.0030864197530864196</x:v>
      </x:c>
      <x:c r="H34" s="79" t="str">
        <x:v>编辑建议：倍率零碎尾数就近收至0.05，如1.94→1.95、62.32→62.30。</x:v>
      </x:c>
      <x:c r="I34" s="71" t="str">
        <x:v>编辑判断已获用户批准</x:v>
      </x:c>
    </x:row>
    <x:row r="35" ht="30" customHeight="1">
      <x:c r="A35" s="71" t="str">
        <x:v>科威特</x:v>
      </x:c>
      <x:c r="B35" s="71" t="str">
        <x:v>USD</x:v>
      </x:c>
      <x:c r="C35" s="71" t="str">
        <x:v>Humanizer包／3份</x:v>
      </x:c>
      <x:c r="D35" s="73" t="n">
        <x:v>4.54</x:v>
      </x:c>
      <x:c r="E35" s="73" t="n">
        <x:v>4.55</x:v>
      </x:c>
      <x:c r="F35" s="77" t="n">
        <x:f>ROUND(E35-D35,2)</x:f>
        <x:v>0.01</x:v>
      </x:c>
      <x:c r="G35" s="78" t="n">
        <x:f>F35/D35</x:f>
        <x:v>0.0022026431718061676</x:v>
      </x:c>
      <x:c r="H35" s="79" t="str">
        <x:v>编辑建议：倍率零碎尾数就近收至0.05，如1.94→1.95、62.32→62.30。</x:v>
      </x:c>
      <x:c r="I35" s="71" t="str">
        <x:v>编辑判断已获用户批准</x:v>
      </x:c>
    </x:row>
    <x:row r="36" ht="30" customHeight="1">
      <x:c r="A36" s="71" t="str">
        <x:v>挪威</x:v>
      </x:c>
      <x:c r="B36" s="71" t="str">
        <x:v>NOK</x:v>
      </x:c>
      <x:c r="C36" s="71" t="str">
        <x:v>Trial／7天</x:v>
      </x:c>
      <x:c r="D36" s="73" t="n">
        <x:v>27.99</x:v>
      </x:c>
      <x:c r="E36" s="73" t="n">
        <x:v>28</x:v>
      </x:c>
      <x:c r="F36" s="77" t="n">
        <x:f>ROUND(E36-D36,2)</x:f>
        <x:v>0.01</x:v>
      </x:c>
      <x:c r="G36" s="78" t="n">
        <x:f>F36/D36</x:f>
        <x:v>0.0003572704537334763</x:v>
      </x:c>
      <x:c r="H36" s="79" t="str">
        <x:v>参考当地整克朗订阅报价，以最近整数克朗简化两位尾数。</x:v>
      </x:c>
      <x:c r="I36" s="71" t="str">
        <x:v>参考地区报价形式，用户已批准</x:v>
      </x:c>
    </x:row>
    <x:row r="37" ht="30" customHeight="1">
      <x:c r="A37" s="71" t="str">
        <x:v>挪威</x:v>
      </x:c>
      <x:c r="B37" s="71" t="str">
        <x:v>NOK</x:v>
      </x:c>
      <x:c r="C37" s="71" t="str">
        <x:v>Basic／月</x:v>
      </x:c>
      <x:c r="D37" s="73" t="n">
        <x:v>188.99</x:v>
      </x:c>
      <x:c r="E37" s="73" t="n">
        <x:v>189</x:v>
      </x:c>
      <x:c r="F37" s="77" t="n">
        <x:f>ROUND(E37-D37,2)</x:f>
        <x:v>0.01</x:v>
      </x:c>
      <x:c r="G37" s="78" t="n">
        <x:f>F37/D37</x:f>
        <x:v>0.000052912852531879995</x:v>
      </x:c>
      <x:c r="H37" s="79" t="str">
        <x:v>参考当地整克朗订阅报价，以最近整数克朗简化两位尾数。</x:v>
      </x:c>
      <x:c r="I37" s="71" t="str">
        <x:v>参考地区报价形式，用户已批准</x:v>
      </x:c>
    </x:row>
    <x:row r="38" ht="30" customHeight="1">
      <x:c r="A38" s="71" t="str">
        <x:v>挪威</x:v>
      </x:c>
      <x:c r="B38" s="71" t="str">
        <x:v>NOK</x:v>
      </x:c>
      <x:c r="C38" s="71" t="str">
        <x:v>Plus／月</x:v>
      </x:c>
      <x:c r="D38" s="73" t="n">
        <x:v>376.99</x:v>
      </x:c>
      <x:c r="E38" s="73" t="n">
        <x:v>377</x:v>
      </x:c>
      <x:c r="F38" s="77" t="n">
        <x:f>ROUND(E38-D38,2)</x:f>
        <x:v>0.01</x:v>
      </x:c>
      <x:c r="G38" s="78" t="n">
        <x:f>F38/D38</x:f>
        <x:v>0.000026525902543834053</x:v>
      </x:c>
      <x:c r="H38" s="79" t="str">
        <x:v>参考当地整克朗订阅报价，以最近整数克朗简化两位尾数。</x:v>
      </x:c>
      <x:c r="I38" s="71" t="str">
        <x:v>参考地区报价形式，用户已批准</x:v>
      </x:c>
    </x:row>
    <x:row r="39" ht="30" customHeight="1">
      <x:c r="A39" s="71" t="str">
        <x:v>挪威</x:v>
      </x:c>
      <x:c r="B39" s="71" t="str">
        <x:v>NOK</x:v>
      </x:c>
      <x:c r="C39" s="71" t="str">
        <x:v>新Pro／月</x:v>
      </x:c>
      <x:c r="D39" s="73" t="n">
        <x:v>282.99</x:v>
      </x:c>
      <x:c r="E39" s="73" t="n">
        <x:v>283</x:v>
      </x:c>
      <x:c r="F39" s="77" t="n">
        <x:f>ROUND(E39-D39,2)</x:f>
        <x:v>0.01</x:v>
      </x:c>
      <x:c r="G39" s="78" t="n">
        <x:f>F39/D39</x:f>
        <x:v>0.00003533693770097883</x:v>
      </x:c>
      <x:c r="H39" s="79" t="str">
        <x:v>参考当地整克朗订阅报价，以最近整数克朗简化两位尾数。</x:v>
      </x:c>
      <x:c r="I39" s="71" t="str">
        <x:v>参考地区报价形式，用户已批准</x:v>
      </x:c>
    </x:row>
    <x:row r="40" ht="30" customHeight="1">
      <x:c r="A40" s="71" t="str">
        <x:v>挪威</x:v>
      </x:c>
      <x:c r="B40" s="71" t="str">
        <x:v>NOK</x:v>
      </x:c>
      <x:c r="C40" s="71" t="str">
        <x:v>Basic／年</x:v>
      </x:c>
      <x:c r="D40" s="73" t="n">
        <x:v>904.99</x:v>
      </x:c>
      <x:c r="E40" s="73" t="n">
        <x:v>905</x:v>
      </x:c>
      <x:c r="F40" s="77" t="n">
        <x:f>ROUND(E40-D40,2)</x:f>
        <x:v>0.01</x:v>
      </x:c>
      <x:c r="G40" s="78" t="n">
        <x:f>F40/D40</x:f>
        <x:v>0.000011049845854650328</x:v>
      </x:c>
      <x:c r="H40" s="79" t="str">
        <x:v>参考当地整克朗订阅报价，以最近整数克朗简化两位尾数。</x:v>
      </x:c>
      <x:c r="I40" s="71" t="str">
        <x:v>参考地区报价形式，用户已批准</x:v>
      </x:c>
    </x:row>
    <x:row r="41" ht="30" customHeight="1">
      <x:c r="A41" s="71" t="str">
        <x:v>挪威</x:v>
      </x:c>
      <x:c r="B41" s="71" t="str">
        <x:v>NOK</x:v>
      </x:c>
      <x:c r="C41" s="71" t="str">
        <x:v>Plus／年</x:v>
      </x:c>
      <x:c r="D41" s="73" t="n">
        <x:v>1810.99</x:v>
      </x:c>
      <x:c r="E41" s="73" t="n">
        <x:v>1811</x:v>
      </x:c>
      <x:c r="F41" s="77" t="n">
        <x:f>ROUND(E41-D41,2)</x:f>
        <x:v>0.01</x:v>
      </x:c>
      <x:c r="G41" s="78" t="n">
        <x:f>F41/D41</x:f>
        <x:v>0.000005521841644625315</x:v>
      </x:c>
      <x:c r="H41" s="79" t="str">
        <x:v>参考当地整克朗订阅报价，以最近整数克朗简化两位尾数。</x:v>
      </x:c>
      <x:c r="I41" s="71" t="str">
        <x:v>参考地区报价形式，用户已批准</x:v>
      </x:c>
    </x:row>
    <x:row r="42" ht="30" customHeight="1">
      <x:c r="A42" s="71" t="str">
        <x:v>挪威</x:v>
      </x:c>
      <x:c r="B42" s="71" t="str">
        <x:v>NOK</x:v>
      </x:c>
      <x:c r="C42" s="71" t="str">
        <x:v>新Pro／年</x:v>
      </x:c>
      <x:c r="D42" s="73" t="n">
        <x:v>3395.88</x:v>
      </x:c>
      <x:c r="E42" s="73" t="n">
        <x:v>3396</x:v>
      </x:c>
      <x:c r="F42" s="77" t="n">
        <x:f>ROUND(E42-D42,2)</x:f>
        <x:v>0.12</x:v>
      </x:c>
      <x:c r="G42" s="78" t="n">
        <x:f>F42/D42</x:f>
        <x:v>0.00003533693770097883</x:v>
      </x:c>
      <x:c r="H42" s="79" t="str">
        <x:v>建议月价联动×12，保留既有Pro年价关系；不另改年付折扣。</x:v>
      </x:c>
      <x:c r="I42" s="71" t="str">
        <x:v>参考地区报价形式，用户已批准</x:v>
      </x:c>
    </x:row>
    <x:row r="43" ht="30" customHeight="1">
      <x:c r="A43" s="71" t="str">
        <x:v>挪威</x:v>
      </x:c>
      <x:c r="B43" s="71" t="str">
        <x:v>NOK</x:v>
      </x:c>
      <x:c r="C43" s="71" t="str">
        <x:v>作业包／3份</x:v>
      </x:c>
      <x:c r="D43" s="73" t="n">
        <x:v>93.99</x:v>
      </x:c>
      <x:c r="E43" s="73" t="n">
        <x:v>94</x:v>
      </x:c>
      <x:c r="F43" s="77" t="n">
        <x:f>ROUND(E43-D43,2)</x:f>
        <x:v>0.01</x:v>
      </x:c>
      <x:c r="G43" s="78" t="n">
        <x:f>F43/D43</x:f>
        <x:v>0.00010639429726566656</x:v>
      </x:c>
      <x:c r="H43" s="79" t="str">
        <x:v>参考当地整克朗订阅报价，以最近整数克朗简化两位尾数。</x:v>
      </x:c>
      <x:c r="I43" s="71" t="str">
        <x:v>参考地区报价形式，用户已批准</x:v>
      </x:c>
    </x:row>
    <x:row r="44" ht="30" customHeight="1">
      <x:c r="A44" s="71" t="str">
        <x:v>挪威</x:v>
      </x:c>
      <x:c r="B44" s="71" t="str">
        <x:v>NOK</x:v>
      </x:c>
      <x:c r="C44" s="71" t="str">
        <x:v>检测包／5份</x:v>
      </x:c>
      <x:c r="D44" s="73" t="n">
        <x:v>46.99</x:v>
      </x:c>
      <x:c r="E44" s="73" t="n">
        <x:v>47</x:v>
      </x:c>
      <x:c r="F44" s="77" t="n">
        <x:f>ROUND(E44-D44,2)</x:f>
        <x:v>0.01</x:v>
      </x:c>
      <x:c r="G44" s="78" t="n">
        <x:f>F44/D44</x:f>
        <x:v>0.00021281123643328368</x:v>
      </x:c>
      <x:c r="H44" s="79" t="str">
        <x:v>参考当地整克朗订阅报价，以最近整数克朗简化两位尾数。</x:v>
      </x:c>
      <x:c r="I44" s="71" t="str">
        <x:v>参考地区报价形式，用户已批准</x:v>
      </x:c>
    </x:row>
    <x:row r="45" ht="30" customHeight="1">
      <x:c r="A45" s="71" t="str">
        <x:v>挪威</x:v>
      </x:c>
      <x:c r="B45" s="71" t="str">
        <x:v>NOK</x:v>
      </x:c>
      <x:c r="C45" s="71" t="str">
        <x:v>Humanizer包／3份</x:v>
      </x:c>
      <x:c r="D45" s="73" t="n">
        <x:v>65.99</x:v>
      </x:c>
      <x:c r="E45" s="73" t="n">
        <x:v>66</x:v>
      </x:c>
      <x:c r="F45" s="77" t="n">
        <x:f>ROUND(E45-D45,2)</x:f>
        <x:v>0.01</x:v>
      </x:c>
      <x:c r="G45" s="78" t="n">
        <x:f>F45/D45</x:f>
        <x:v>0.00015153811183512655</x:v>
      </x:c>
      <x:c r="H45" s="79" t="str">
        <x:v>参考当地整克朗订阅报价，以最近整数克朗简化两位尾数。</x:v>
      </x:c>
      <x:c r="I45" s="71" t="str">
        <x:v>参考地区报价形式，用户已批准</x:v>
      </x:c>
    </x:row>
  </x:sheetData>
  <x:pageMargins left="0.7" right="0.7" top="0.75" bottom="0.75" header="0.3" footer="0.3"/>
  <x:tableParts count="1">
    <x:tablePart xmlns:r="http://schemas.openxmlformats.org/officeDocument/2006/relationships" r:id="Rdb29e679637840cc"/>
  </x:tableParts>
</x:worksheet>
</file>